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435c569491a47fe" /></Relationships>
</file>

<file path=xl/workbook.xml><?xml version="1.0" encoding="utf-8"?>
<x:workbook xmlns:x="http://schemas.openxmlformats.org/spreadsheetml/2006/main">
  <x:sheets>
    <x:sheet xmlns:r="http://schemas.openxmlformats.org/officeDocument/2006/relationships" name="README" sheetId="1" r:id="Rbc74aa61c95d4d6c"/>
    <x:sheet xmlns:r="http://schemas.openxmlformats.org/officeDocument/2006/relationships" name="Summary" sheetId="2" r:id="R6d4d135805b34fa5"/>
    <x:sheet xmlns:r="http://schemas.openxmlformats.org/officeDocument/2006/relationships" name="Event_Catalog" sheetId="3" r:id="Rc02fbcde4ae848a6"/>
    <x:sheet xmlns:r="http://schemas.openxmlformats.org/officeDocument/2006/relationships" name="KIS_Queries" sheetId="4" r:id="R9acf411808ca4cb9"/>
    <x:sheet xmlns:r="http://schemas.openxmlformats.org/officeDocument/2006/relationships" name="VQA_Queries" sheetId="5" r:id="R93ecea389d214189"/>
    <x:sheet xmlns:r="http://schemas.openxmlformats.org/officeDocument/2006/relationships" name="AVS_Queries" sheetId="6" r:id="R2e0e26bce40845e0"/>
    <x:sheet xmlns:r="http://schemas.openxmlformats.org/officeDocument/2006/relationships" name="AVS_GroundTruth" sheetId="7" r:id="R75574a34c6f84ceb"/>
    <x:sheet xmlns:r="http://schemas.openxmlformats.org/officeDocument/2006/relationships" name="TRAKE_Queries" sheetId="8" r:id="R5aaca795afff4d8d"/>
    <x:sheet xmlns:r="http://schemas.openxmlformats.org/officeDocument/2006/relationships" name="TRAKE_Events" sheetId="9" r:id="Rcf2d6b6712e64464"/>
    <x:sheet xmlns:r="http://schemas.openxmlformats.org/officeDocument/2006/relationships" name="Evaluation_Strategy" sheetId="10" r:id="Rc50203ab874e46bb"/>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FFFFFF"/>
      <x:name val="Carlito"/>
    </x:font>
    <x:font>
      <x:b/>
      <x:sz val="12"/>
      <x:color rgb="FFFFFFFF"/>
      <x:name val="Carlito"/>
    </x:font>
    <x:font>
      <x:b/>
      <x:sz val="10"/>
      <x:color rgb="FFFFFFFF"/>
      <x:name val="Carlito"/>
    </x:font>
  </x:fonts>
  <x:fills count="5">
    <x:fill>
      <x:patternFill patternType="none"/>
    </x:fill>
    <x:fill>
      <x:patternFill patternType="gray125"/>
    </x:fill>
    <x:fill>
      <x:patternFill patternType="solid">
        <x:fgColor rgb="FF0B3954"/>
      </x:patternFill>
    </x:fill>
    <x:fill>
      <x:patternFill patternType="solid">
        <x:fgColor rgb="FF087E8B"/>
      </x:patternFill>
    </x:fill>
    <x:fill>
      <x:patternFill patternType="solid">
        <x:fgColor rgb="FF1D4E89"/>
      </x:patternFill>
    </x:fill>
  </x:fills>
  <x:borders count="24">
    <x:border/>
    <x:border/>
    <x:border>
      <x:left style="thin">
        <x:color rgb="FFE5E7EB"/>
      </x:left>
      <x:top style="thin">
        <x:color rgb="FFE5E7EB"/>
      </x:top>
    </x:border>
    <x:border>
      <x:top style="thin">
        <x:color rgb="FFE5E7EB"/>
      </x:top>
    </x:border>
    <x:border>
      <x:right style="thin">
        <x:color rgb="FFE5E7EB"/>
      </x:right>
      <x:top style="thin">
        <x:color rgb="FFE5E7EB"/>
      </x:top>
    </x:border>
    <x:border>
      <x:left style="thin">
        <x:color rgb="FFE5E7EB"/>
      </x:left>
    </x:border>
    <x:border>
      <x:right style="thin">
        <x:color rgb="FFE5E7EB"/>
      </x:right>
    </x:border>
    <x:border>
      <x:left style="thin">
        <x:color rgb="FFE5E7EB"/>
      </x:left>
      <x:bottom style="thin">
        <x:color rgb="FFE5E7EB"/>
      </x:bottom>
    </x:border>
    <x:border>
      <x:bottom style="thin">
        <x:color rgb="FFE5E7EB"/>
      </x:bottom>
    </x:border>
    <x:border>
      <x:right style="thin">
        <x:color rgb="FFE5E7EB"/>
      </x:right>
      <x:bottom style="thin">
        <x:color rgb="FFE5E7EB"/>
      </x:bottom>
    </x:border>
    <x:border>
      <x:left style="thin">
        <x:color rgb="FFE5E7EB"/>
      </x:left>
      <x:top style="thin">
        <x:color rgb="FFE5E7EB"/>
      </x:top>
    </x:border>
    <x:border>
      <x:top style="thin">
        <x:color rgb="FFE5E7EB"/>
      </x:top>
    </x:border>
    <x:border>
      <x:right style="thin">
        <x:color rgb="FFE5E7EB"/>
      </x:right>
      <x:top style="thin">
        <x:color rgb="FFE5E7EB"/>
      </x:top>
    </x:border>
    <x:border>
      <x:left style="thin">
        <x:color rgb="FFE5E7EB"/>
      </x:left>
    </x:border>
    <x:border>
      <x:right style="thin">
        <x:color rgb="FFE5E7EB"/>
      </x:right>
    </x:border>
    <x:border>
      <x:left style="thin">
        <x:color rgb="FFE5E7EB"/>
      </x:left>
      <x:bottom style="thin">
        <x:color rgb="FFE5E7EB"/>
      </x:bottom>
    </x:border>
    <x:border>
      <x:bottom style="thin">
        <x:color rgb="FFE5E7EB"/>
      </x:bottom>
    </x:border>
    <x:border>
      <x:right style="thin">
        <x:color rgb="FFE5E7EB"/>
      </x:right>
      <x:bottom style="thin">
        <x:color rgb="FFE5E7EB"/>
      </x:bottom>
    </x:border>
    <x:border>
      <x:left style="thin">
        <x:color rgb="FFD0D7DE"/>
      </x:left>
      <x:top style="thin">
        <x:color rgb="FFD0D7DE"/>
      </x:top>
      <x:bottom style="thin">
        <x:color rgb="FFD0D7DE"/>
      </x:bottom>
    </x:border>
    <x:border>
      <x:top style="thin">
        <x:color rgb="FFD0D7DE"/>
      </x:top>
      <x:bottom style="thin">
        <x:color rgb="FFD0D7DE"/>
      </x:bottom>
    </x:border>
    <x:border>
      <x:right style="thin">
        <x:color rgb="FFD0D7DE"/>
      </x:right>
      <x:top style="thin">
        <x:color rgb="FFD0D7DE"/>
      </x:top>
      <x:bottom style="thin">
        <x:color rgb="FFD0D7DE"/>
      </x:bottom>
    </x:border>
    <x:border>
      <x:left style="thin">
        <x:color rgb="FFD0D7DE"/>
      </x:left>
      <x:top style="thin">
        <x:color rgb="FFD0D7DE"/>
      </x:top>
      <x:bottom style="thin">
        <x:color rgb="FFD0D7DE"/>
      </x:bottom>
    </x:border>
    <x:border>
      <x:top style="thin">
        <x:color rgb="FFD0D7DE"/>
      </x:top>
      <x:bottom style="thin">
        <x:color rgb="FFD0D7DE"/>
      </x:bottom>
    </x:border>
    <x:border>
      <x:right style="thin">
        <x:color rgb="FFD0D7DE"/>
      </x:right>
      <x:top style="thin">
        <x:color rgb="FFD0D7DE"/>
      </x:top>
      <x:bottom style="thin">
        <x:color rgb="FFD0D7DE"/>
      </x:bottom>
    </x:border>
  </x:borders>
  <x:cellStyleXfs count="1">
    <x:xf numFmtId="0" fontId="0" fillId="0" borderId="0"/>
  </x:cellStyleXfs>
  <x:cellXfs count="10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2" fillId="3" borderId="1" xfId="0" applyNumberFormat="1" applyFont="1" applyFill="1" applyBorder="1" applyAlignment="1">
      <x:alignment horizontal="center"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2" fillId="3" borderId="5" xfId="0" applyNumberFormat="1" applyFont="1" applyFill="1" applyBorder="1" applyAlignment="1">
      <x:alignment horizontal="center" vertical="top" wrapText="1"/>
    </x:xf>
    <x:xf numFmtId="0" fontId="2" fillId="3" borderId="6" xfId="0" applyNumberFormat="1" applyFont="1" applyFill="1" applyBorder="1" applyAlignment="1">
      <x:alignment horizontal="center"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2" fillId="3" borderId="13" xfId="0" applyNumberFormat="1" applyFont="1" applyFill="1" applyBorder="1" applyAlignment="1">
      <x:alignment horizontal="center" vertical="top" wrapText="1"/>
    </x:xf>
    <x:xf numFmtId="0" fontId="2" fillId="3" borderId="14" xfId="0" applyNumberFormat="1" applyFont="1" applyFill="1" applyBorder="1" applyAlignment="1">
      <x:alignment horizontal="center"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8" xfId="0" applyNumberFormat="1" applyFont="1" applyFill="1" applyBorder="1"/>
    <x:xf numFmtId="0" fontId="3" fillId="4" borderId="19" xfId="0" applyNumberFormat="1" applyFont="1" applyFill="1" applyBorder="1"/>
    <x:xf numFmtId="0" fontId="3" fillId="4" borderId="20" xfId="0" applyNumberFormat="1" applyFont="1" applyFill="1" applyBorder="1"/>
    <x:xf numFmtId="0" fontId="3" fillId="4" borderId="18" xfId="0" applyNumberFormat="1" applyFont="1" applyFill="1" applyBorder="1" applyAlignment="1">
      <x:alignment wrapText="1"/>
    </x:xf>
    <x:xf numFmtId="0" fontId="3" fillId="4" borderId="19" xfId="0" applyNumberFormat="1" applyFont="1" applyFill="1" applyBorder="1" applyAlignment="1">
      <x:alignment wrapText="1"/>
    </x:xf>
    <x:xf numFmtId="0" fontId="3" fillId="4" borderId="20" xfId="0" applyNumberFormat="1" applyFont="1" applyFill="1" applyBorder="1" applyAlignment="1">
      <x:alignment wrapText="1"/>
    </x:xf>
    <x:xf numFmtId="0" fontId="3" fillId="4" borderId="18" xfId="0" applyNumberFormat="1" applyFont="1" applyFill="1" applyBorder="1" applyAlignment="1">
      <x:alignment horizontal="center" wrapText="1"/>
    </x:xf>
    <x:xf numFmtId="0" fontId="3" fillId="4" borderId="19" xfId="0" applyNumberFormat="1" applyFont="1" applyFill="1" applyBorder="1" applyAlignment="1">
      <x:alignment horizontal="center" wrapText="1"/>
    </x:xf>
    <x:xf numFmtId="0" fontId="3" fillId="4" borderId="20" xfId="0" applyNumberFormat="1" applyFont="1" applyFill="1" applyBorder="1" applyAlignment="1">
      <x:alignment horizontal="center" wrapText="1"/>
    </x:xf>
    <x:xf numFmtId="0" fontId="3" fillId="4" borderId="18" xfId="0" applyNumberFormat="1" applyFont="1" applyFill="1" applyBorder="1" applyAlignment="1">
      <x:alignment horizontal="center" vertical="center" wrapText="1"/>
    </x:xf>
    <x:xf numFmtId="0" fontId="3" fillId="4" borderId="19" xfId="0" applyNumberFormat="1" applyFont="1" applyFill="1" applyBorder="1" applyAlignment="1">
      <x:alignment horizontal="center" vertical="center" wrapText="1"/>
    </x:xf>
    <x:xf numFmtId="0" fontId="3" fillId="4" borderId="2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21" xfId="0" applyNumberFormat="1" applyFont="1" applyFill="1" applyBorder="1"/>
    <x:xf numFmtId="0" fontId="3" fillId="4" borderId="22" xfId="0" applyNumberFormat="1" applyFont="1" applyFill="1" applyBorder="1"/>
    <x:xf numFmtId="0" fontId="3" fillId="4" borderId="23" xfId="0" applyNumberFormat="1" applyFont="1" applyFill="1" applyBorder="1"/>
    <x:xf numFmtId="0" fontId="3" fillId="4" borderId="21" xfId="0" applyNumberFormat="1" applyFont="1" applyFill="1" applyBorder="1" applyAlignment="1">
      <x:alignment wrapText="1"/>
    </x:xf>
    <x:xf numFmtId="0" fontId="3" fillId="4" borderId="22" xfId="0" applyNumberFormat="1" applyFont="1" applyFill="1" applyBorder="1" applyAlignment="1">
      <x:alignment wrapText="1"/>
    </x:xf>
    <x:xf numFmtId="0" fontId="3" fillId="4" borderId="23" xfId="0" applyNumberFormat="1" applyFont="1" applyFill="1" applyBorder="1" applyAlignment="1">
      <x:alignment wrapText="1"/>
    </x:xf>
    <x:xf numFmtId="0" fontId="3" fillId="4" borderId="21" xfId="0" applyNumberFormat="1" applyFont="1" applyFill="1" applyBorder="1" applyAlignment="1">
      <x:alignment horizontal="center" wrapText="1"/>
    </x:xf>
    <x:xf numFmtId="0" fontId="3" fillId="4" borderId="22" xfId="0" applyNumberFormat="1" applyFont="1" applyFill="1" applyBorder="1" applyAlignment="1">
      <x:alignment horizontal="center" wrapText="1"/>
    </x:xf>
    <x:xf numFmtId="0" fontId="3" fillId="4" borderId="23" xfId="0" applyNumberFormat="1" applyFont="1" applyFill="1" applyBorder="1" applyAlignment="1">
      <x:alignment horizontal="center" wrapText="1"/>
    </x:xf>
    <x:xf numFmtId="0" fontId="3" fillId="4" borderId="21" xfId="0" applyNumberFormat="1" applyFont="1" applyFill="1" applyBorder="1" applyAlignment="1">
      <x:alignment horizontal="center" vertical="center" wrapText="1"/>
    </x:xf>
    <x:xf numFmtId="0" fontId="3" fillId="4" borderId="22" xfId="0" applyNumberFormat="1" applyFont="1" applyFill="1" applyBorder="1" applyAlignment="1">
      <x:alignment horizontal="center" vertical="center" wrapText="1"/>
    </x:xf>
    <x:xf numFmtId="0" fontId="3" fillId="4" borderId="23" xfId="0" applyNumberFormat="1" applyFont="1" applyFill="1" applyBorder="1" applyAlignment="1">
      <x:alignment horizontal="center" vertical="center" wrapText="1"/>
    </x:xf>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0"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cellXfs>
  <x:cellStyles count="1">
    <x:cellStyle name="Normal" xfId="0"/>
  </x:cellStyles>
  <x:dxfs count="12">
    <x:dxf>
      <x:font>
        <x:b/>
        <x:color rgb="FF274E13"/>
      </x:font>
      <x:fill>
        <x:patternFill patternType="solid">
          <x:bgColor rgb="FFD9EAD3"/>
        </x:patternFill>
      </x:fill>
    </x:dxf>
    <x:dxf>
      <x:font>
        <x:b/>
        <x:color rgb="FF7F6000"/>
      </x:font>
      <x:fill>
        <x:patternFill patternType="solid">
          <x:bgColor rgb="FFFFF2CC"/>
        </x:patternFill>
      </x:fill>
    </x:dxf>
    <x:dxf>
      <x:font>
        <x:b/>
        <x:color rgb="FF990000"/>
      </x:font>
      <x:fill>
        <x:patternFill patternType="solid">
          <x:bgColor rgb="FFF4CCCC"/>
        </x:patternFill>
      </x:fill>
    </x:dxf>
    <x:dxf>
      <x:font>
        <x:b/>
        <x:color rgb="FF274E13"/>
      </x:font>
      <x:fill>
        <x:patternFill patternType="solid">
          <x:bgColor rgb="FFD9EAD3"/>
        </x:patternFill>
      </x:fill>
    </x:dxf>
    <x:dxf>
      <x:font>
        <x:b/>
        <x:color rgb="FF7F6000"/>
      </x:font>
      <x:fill>
        <x:patternFill patternType="solid">
          <x:bgColor rgb="FFFFF2CC"/>
        </x:patternFill>
      </x:fill>
    </x:dxf>
    <x:dxf>
      <x:font>
        <x:b/>
        <x:color rgb="FF990000"/>
      </x:font>
      <x:fill>
        <x:patternFill patternType="solid">
          <x:bgColor rgb="FFF4CCCC"/>
        </x:patternFill>
      </x:fill>
    </x:dxf>
    <x:dxf>
      <x:font>
        <x:b/>
        <x:color rgb="FF274E13"/>
      </x:font>
      <x:fill>
        <x:patternFill patternType="solid">
          <x:bgColor rgb="FFD9EAD3"/>
        </x:patternFill>
      </x:fill>
    </x:dxf>
    <x:dxf>
      <x:font>
        <x:b/>
        <x:color rgb="FF7F6000"/>
      </x:font>
      <x:fill>
        <x:patternFill patternType="solid">
          <x:bgColor rgb="FFFFF2CC"/>
        </x:patternFill>
      </x:fill>
    </x:dxf>
    <x:dxf>
      <x:font>
        <x:b/>
        <x:color rgb="FF990000"/>
      </x:font>
      <x:fill>
        <x:patternFill patternType="solid">
          <x:bgColor rgb="FFF4CCCC"/>
        </x:patternFill>
      </x:fill>
    </x:dxf>
    <x:dxf>
      <x:font>
        <x:b/>
        <x:color rgb="FF274E13"/>
      </x:font>
      <x:fill>
        <x:patternFill patternType="solid">
          <x:bgColor rgb="FFD9EAD3"/>
        </x:patternFill>
      </x:fill>
    </x:dxf>
    <x:dxf>
      <x:font>
        <x:b/>
        <x:color rgb="FF7F6000"/>
      </x:font>
      <x:fill>
        <x:patternFill patternType="solid">
          <x:bgColor rgb="FFFFF2CC"/>
        </x:patternFill>
      </x:fill>
    </x:dxf>
    <x:dxf>
      <x:font>
        <x:b/>
        <x:color rgb="FF990000"/>
      </x:font>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a787edee0e647a0" /><Relationship Type="http://schemas.openxmlformats.org/officeDocument/2006/relationships/theme" Target="/xl/theme/theme1.xml" Id="Re0b9e05440194854" /><Relationship Type="http://schemas.openxmlformats.org/officeDocument/2006/relationships/sharedStrings" Target="/xl/sharedStrings.xml" Id="R4a5adddaf0214a09" /><Relationship Type="http://schemas.openxmlformats.org/officeDocument/2006/relationships/worksheet" Target="/xl/worksheets/sheet1.xml" Id="Rbc74aa61c95d4d6c" /><Relationship Type="http://schemas.openxmlformats.org/officeDocument/2006/relationships/worksheet" Target="/xl/worksheets/sheet2.xml" Id="R6d4d135805b34fa5" /><Relationship Type="http://schemas.openxmlformats.org/officeDocument/2006/relationships/worksheet" Target="/xl/worksheets/sheet3.xml" Id="Rc02fbcde4ae848a6" /><Relationship Type="http://schemas.openxmlformats.org/officeDocument/2006/relationships/worksheet" Target="/xl/worksheets/sheet4.xml" Id="R9acf411808ca4cb9" /><Relationship Type="http://schemas.openxmlformats.org/officeDocument/2006/relationships/worksheet" Target="/xl/worksheets/sheet5.xml" Id="R93ecea389d214189" /><Relationship Type="http://schemas.openxmlformats.org/officeDocument/2006/relationships/worksheet" Target="/xl/worksheets/sheet6.xml" Id="R2e0e26bce40845e0" /><Relationship Type="http://schemas.openxmlformats.org/officeDocument/2006/relationships/worksheet" Target="/xl/worksheets/sheet7.xml" Id="R75574a34c6f84ceb" /><Relationship Type="http://schemas.openxmlformats.org/officeDocument/2006/relationships/worksheet" Target="/xl/worksheets/sheet8.xml" Id="R5aaca795afff4d8d" /><Relationship Type="http://schemas.openxmlformats.org/officeDocument/2006/relationships/worksheet" Target="/xl/worksheets/sheet9.xml" Id="Rcf2d6b6712e64464" /><Relationship Type="http://schemas.openxmlformats.org/officeDocument/2006/relationships/worksheet" Target="/xl/worksheets/sheet10.xml" Id="Rc50203ab874e46bb" /></Relationships>
</file>

<file path=xl/tables/table1.xml><?xml version="1.0" encoding="utf-8"?>
<x:table xmlns:x="http://schemas.openxmlformats.org/spreadsheetml/2006/main" id="1" name="EventCatalogTable" displayName="EventCatalogTable" ref="A1:J16" headerRowCount="1">
  <x:tableColumns count="10">
    <x:tableColumn id="1" name="event_id"/>
    <x:tableColumn id="2" name="title_vi"/>
    <x:tableColumn id="3" name="start_sec"/>
    <x:tableColumn id="4" name="end_sec"/>
    <x:tableColumn id="5" name="start_frame"/>
    <x:tableColumn id="6" name="end_frame"/>
    <x:tableColumn id="7" name="summary_vi"/>
    <x:tableColumn id="8" name="visual_cues"/>
    <x:tableColumn id="9" name="ocr_cues"/>
    <x:tableColumn id="10" name="quality"/>
  </x:tableColumns>
  <x:tableStyleInfo name="TableStyleMedium2" showRowStripes="1"/>
</x:table>
</file>

<file path=xl/tables/table2.xml><?xml version="1.0" encoding="utf-8"?>
<x:table xmlns:x="http://schemas.openxmlformats.org/spreadsheetml/2006/main" id="2" name="KISQueriesTable" displayName="KISQueriesTable" ref="A1:Q13" headerRowCount="1">
  <x:tableColumns count="17">
    <x:tableColumn id="1" name="query_id"/>
    <x:tableColumn id="2" name="difficulty"/>
    <x:tableColumn id="3" name="query_vi"/>
    <x:tableColumn id="4" name="query_en"/>
    <x:tableColumn id="5" name="dense_query_en"/>
    <x:tableColumn id="6" name="sparse_terms"/>
    <x:tableColumn id="7" name="event_id"/>
    <x:tableColumn id="8" name="target_video"/>
    <x:tableColumn id="9" name="start_sec"/>
    <x:tableColumn id="10" name="end_sec"/>
    <x:tableColumn id="11" name="start_frame"/>
    <x:tableColumn id="12" name="end_frame"/>
    <x:tableColumn id="13" name="representative_frame"/>
    <x:tableColumn id="14" name="hard_negative"/>
    <x:tableColumn id="15" name="required_modalities"/>
    <x:tableColumn id="16" name="diagnostic_tags"/>
    <x:tableColumn id="17" name="quality_note"/>
  </x:tableColumns>
  <x:tableStyleInfo name="TableStyleMedium2" showRowStripes="1"/>
</x:table>
</file>

<file path=xl/tables/table3.xml><?xml version="1.0" encoding="utf-8"?>
<x:table xmlns:x="http://schemas.openxmlformats.org/spreadsheetml/2006/main" id="3" name="VQAQueriesTable" displayName="VQAQueriesTable" ref="A1:R13" headerRowCount="1">
  <x:tableColumns count="18">
    <x:tableColumn id="1" name="query_id"/>
    <x:tableColumn id="2" name="difficulty"/>
    <x:tableColumn id="3" name="event_description_vi"/>
    <x:tableColumn id="4" name="question_vi"/>
    <x:tableColumn id="5" name="question_en"/>
    <x:tableColumn id="6" name="answer_canonical"/>
    <x:tableColumn id="7" name="accepted_answers"/>
    <x:tableColumn id="8" name="event_id"/>
    <x:tableColumn id="9" name="target_video"/>
    <x:tableColumn id="10" name="start_sec"/>
    <x:tableColumn id="11" name="end_sec"/>
    <x:tableColumn id="12" name="start_frame"/>
    <x:tableColumn id="13" name="end_frame"/>
    <x:tableColumn id="14" name="representative_frame"/>
    <x:tableColumn id="15" name="reasoning_type"/>
    <x:tableColumn id="16" name="required_modalities"/>
    <x:tableColumn id="17" name="hard_negative"/>
    <x:tableColumn id="18" name="quality_note"/>
  </x:tableColumns>
  <x:tableStyleInfo name="TableStyleMedium2" showRowStripes="1"/>
</x:table>
</file>

<file path=xl/tables/table4.xml><?xml version="1.0" encoding="utf-8"?>
<x:table xmlns:x="http://schemas.openxmlformats.org/spreadsheetml/2006/main" id="4" name="AVSQueriesTable" displayName="AVSQueriesTable" ref="A1:J9" headerRowCount="1">
  <x:tableColumns count="10">
    <x:tableColumn id="1" name="query_id"/>
    <x:tableColumn id="2" name="difficulty"/>
    <x:tableColumn id="3" name="query_vi"/>
    <x:tableColumn id="4" name="query_en"/>
    <x:tableColumn id="5" name="criteria"/>
    <x:tableColumn id="6" name="target_video"/>
    <x:tableColumn id="7" name="required_modalities"/>
    <x:tableColumn id="8" name="diagnostic_tags"/>
    <x:tableColumn id="9" name="dedup_requirement"/>
    <x:tableColumn id="10" name="quality_note"/>
  </x:tableColumns>
  <x:tableStyleInfo name="TableStyleMedium2" showRowStripes="1"/>
</x:table>
</file>

<file path=xl/tables/table5.xml><?xml version="1.0" encoding="utf-8"?>
<x:table xmlns:x="http://schemas.openxmlformats.org/spreadsheetml/2006/main" id="5" name="AVSGroundTruthTable" displayName="AVSGroundTruthTable" ref="A1:H33" headerRowCount="1">
  <x:tableColumns count="8">
    <x:tableColumn id="1" name="query_id"/>
    <x:tableColumn id="2" name="event_id"/>
    <x:tableColumn id="3" name="start_sec"/>
    <x:tableColumn id="4" name="end_sec"/>
    <x:tableColumn id="5" name="start_frame"/>
    <x:tableColumn id="6" name="end_frame"/>
    <x:tableColumn id="7" name="relevance_grade"/>
    <x:tableColumn id="8" name="reason"/>
  </x:tableColumns>
  <x:tableStyleInfo name="TableStyleMedium2" showRowStripes="1"/>
</x:table>
</file>

<file path=xl/tables/table6.xml><?xml version="1.0" encoding="utf-8"?>
<x:table xmlns:x="http://schemas.openxmlformats.org/spreadsheetml/2006/main" id="6" name="TRAKEQueriesTable" displayName="TRAKEQueriesTable" ref="A1:J9" headerRowCount="1">
  <x:tableColumns count="10">
    <x:tableColumn id="1" name="query_id"/>
    <x:tableColumn id="2" name="difficulty"/>
    <x:tableColumn id="3" name="query_vi"/>
    <x:tableColumn id="4" name="query_en"/>
    <x:tableColumn id="5" name="event_count"/>
    <x:tableColumn id="6" name="target_video"/>
    <x:tableColumn id="7" name="required_modalities"/>
    <x:tableColumn id="8" name="diagnostic_tags"/>
    <x:tableColumn id="9" name="hard_negative"/>
    <x:tableColumn id="10" name="quality_note"/>
  </x:tableColumns>
  <x:tableStyleInfo name="TableStyleMedium2" showRowStripes="1"/>
</x:table>
</file>

<file path=xl/tables/table7.xml><?xml version="1.0" encoding="utf-8"?>
<x:table xmlns:x="http://schemas.openxmlformats.org/spreadsheetml/2006/main" id="7" name="TRAKEEventsTable" displayName="TRAKEEventsTable" ref="A1:J36" headerRowCount="1">
  <x:tableColumns count="10">
    <x:tableColumn id="1" name="query_id"/>
    <x:tableColumn id="2" name="event_order"/>
    <x:tableColumn id="3" name="description_vi"/>
    <x:tableColumn id="4" name="description_en"/>
    <x:tableColumn id="5" name="semantic_time_sec"/>
    <x:tableColumn id="6" name="gt_start_frame"/>
    <x:tableColumn id="7" name="gt_end_frame"/>
    <x:tableColumn id="8" name="representative_frame"/>
    <x:tableColumn id="9" name="window_size"/>
    <x:tableColumn id="10" name="verificatio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e809419737ee4a3f" /></Relationships>
</file>

<file path=xl/worksheets/_rels/sheet4.xml.rels>&#65279;<?xml version="1.0" encoding="utf-8"?><Relationships xmlns="http://schemas.openxmlformats.org/package/2006/relationships"><Relationship Type="http://schemas.openxmlformats.org/officeDocument/2006/relationships/table" Target="/xl/tables/table2.xml" Id="R8ee1b1683dd645a9" /></Relationships>
</file>

<file path=xl/worksheets/_rels/sheet5.xml.rels>&#65279;<?xml version="1.0" encoding="utf-8"?><Relationships xmlns="http://schemas.openxmlformats.org/package/2006/relationships"><Relationship Type="http://schemas.openxmlformats.org/officeDocument/2006/relationships/table" Target="/xl/tables/table3.xml" Id="R3fe366b45c0b4664" /></Relationships>
</file>

<file path=xl/worksheets/_rels/sheet6.xml.rels>&#65279;<?xml version="1.0" encoding="utf-8"?><Relationships xmlns="http://schemas.openxmlformats.org/package/2006/relationships"><Relationship Type="http://schemas.openxmlformats.org/officeDocument/2006/relationships/table" Target="/xl/tables/table4.xml" Id="R219fc3f07db2461b" /></Relationships>
</file>

<file path=xl/worksheets/_rels/sheet7.xml.rels>&#65279;<?xml version="1.0" encoding="utf-8"?><Relationships xmlns="http://schemas.openxmlformats.org/package/2006/relationships"><Relationship Type="http://schemas.openxmlformats.org/officeDocument/2006/relationships/table" Target="/xl/tables/table5.xml" Id="R41697bc8b9e44971" /></Relationships>
</file>

<file path=xl/worksheets/_rels/sheet8.xml.rels>&#65279;<?xml version="1.0" encoding="utf-8"?><Relationships xmlns="http://schemas.openxmlformats.org/package/2006/relationships"><Relationship Type="http://schemas.openxmlformats.org/officeDocument/2006/relationships/table" Target="/xl/tables/table6.xml" Id="Rc5aec724ba2b4ac7" /></Relationships>
</file>

<file path=xl/worksheets/_rels/sheet9.xml.rels>&#65279;<?xml version="1.0" encoding="utf-8"?><Relationships xmlns="http://schemas.openxmlformats.org/package/2006/relationships"><Relationship Type="http://schemas.openxmlformats.org/officeDocument/2006/relationships/table" Target="/xl/tables/table7.xml" Id="R7c2dd27e115f40eb" /></Relationships>
</file>

<file path=xl/worksheets/sheet1.xml><?xml version="1.0" encoding="utf-8"?>
<x:worksheet xmlns:x="http://schemas.openxmlformats.org/spreadsheetml/2006/main">
  <x:sheetFormatPr defaultRowHeight="15"/>
  <x:cols>
    <x:col min="1" max="1" width="14" hidden="0" customWidth="1"/>
    <x:col min="2" max="2" width="34" hidden="0" customWidth="1"/>
    <x:col min="3" max="3" width="14" hidden="0" customWidth="1"/>
    <x:col min="4" max="4" width="34" hidden="0" customWidth="1"/>
    <x:col min="5" max="5" width="14" hidden="0" customWidth="1"/>
    <x:col min="6" max="6" width="34" hidden="0" customWidth="1"/>
    <x:col min="7" max="7" width="14" hidden="0" customWidth="1"/>
    <x:col min="8" max="8" width="34" hidden="0" customWidth="1"/>
  </x:cols>
  <x:sheetData>
    <x:row r="1">
      <x:c r="A1" s="5" t="str">
        <x:v>AIC 2026 — L21_V001 Four-Task Query Benchmark</x:v>
      </x:c>
      <x:c r="B1" s="5"/>
      <x:c r="C1" s="5"/>
      <x:c r="D1" s="5"/>
      <x:c r="E1" s="5"/>
      <x:c r="F1" s="5"/>
      <x:c r="G1" s="5"/>
      <x:c r="H1" s="5"/>
    </x:row>
    <x:row r="3">
      <x:c r="A3" s="26" t="str">
        <x:v>Video ID</x:v>
      </x:c>
      <x:c r="B3" s="27" t="str">
        <x:v>L21_V001</x:v>
      </x:c>
      <x:c r="C3" s="27" t="str">
        <x:v>FPS</x:v>
      </x:c>
      <x:c r="D3" s="27" t="n">
        <x:v>30</x:v>
      </x:c>
      <x:c r="E3" s="27" t="str">
        <x:v>Duration (s)</x:v>
      </x:c>
      <x:c r="F3" s="27" t="n">
        <x:v>1261.726</x:v>
      </x:c>
      <x:c r="G3" s="27" t="str">
        <x:v>Total frames</x:v>
      </x:c>
      <x:c r="H3" s="28" t="n">
        <x:v>37849</x:v>
      </x:c>
    </x:row>
    <x:row r="4">
      <x:c r="A4" s="29" t="str">
        <x:v>Resolution</x:v>
      </x:c>
      <x:c r="B4" s="22" t="str">
        <x:v>1280×720</x:v>
      </x:c>
      <x:c r="C4" s="22" t="str">
        <x:v>Tasks</x:v>
      </x:c>
      <x:c r="D4" s="22" t="str">
        <x:v>KIS, VQA, AVS, TRAKE</x:v>
      </x:c>
      <x:c r="E4" s="22" t="str">
        <x:v>Source</x:v>
      </x:c>
      <x:c r="F4" s="22" t="str">
        <x:v>Direct video + readable OCR</x:v>
      </x:c>
      <x:c r="G4" s="22" t="str">
        <x:v>ASR status</x:v>
      </x:c>
      <x:c r="H4" s="30" t="str">
        <x:v>Not transcribed</x:v>
      </x:c>
    </x:row>
    <x:row r="5">
      <x:c r="A5" s="29"/>
      <x:c r="B5" s="22"/>
      <x:c r="C5" s="22"/>
      <x:c r="D5" s="22"/>
      <x:c r="E5" s="22"/>
      <x:c r="F5" s="22"/>
      <x:c r="G5" s="22"/>
      <x:c r="H5" s="30"/>
    </x:row>
    <x:row r="6">
      <x:c r="A6" s="31" t="str">
        <x:v>Official task alignment</x:v>
      </x:c>
      <x:c r="B6" s="23" t="str"/>
      <x:c r="C6" s="23" t="str"/>
      <x:c r="D6" s="23" t="str"/>
      <x:c r="E6" s="23" t="str"/>
      <x:c r="F6" s="23" t="str"/>
      <x:c r="G6" s="23" t="str"/>
      <x:c r="H6" s="32" t="str"/>
    </x:row>
    <x:row r="7">
      <x:c r="A7" s="29" t="str">
        <x:v>KIS</x:v>
      </x:c>
      <x:c r="B7" s="22" t="str">
        <x:v>Find one event and submit any frame inside its correct interval.</x:v>
      </x:c>
      <x:c r="C7" s="22" t="str">
        <x:v>VQA</x:v>
      </x:c>
      <x:c r="D7" s="22" t="str">
        <x:v>Find evidence and answer.</x:v>
      </x:c>
      <x:c r="E7" s="22" t="str">
        <x:v>TRAKE</x:v>
      </x:c>
      <x:c r="F7" s="22" t="str">
        <x:v>Retrieve one video and align one semantic frame per ordered event.</x:v>
      </x:c>
      <x:c r="G7" s="22" t="str">
        <x:v>AVS</x:v>
      </x:c>
      <x:c r="H7" s="30" t="str">
        <x:v>Rank many relevant segments; internal 0–3 relevance.</x:v>
      </x:c>
    </x:row>
    <x:row r="8">
      <x:c r="A8" s="29"/>
      <x:c r="B8" s="22"/>
      <x:c r="C8" s="22"/>
      <x:c r="D8" s="22"/>
      <x:c r="E8" s="22"/>
      <x:c r="F8" s="22"/>
      <x:c r="G8" s="22"/>
      <x:c r="H8" s="30"/>
    </x:row>
    <x:row r="9">
      <x:c r="A9" s="31" t="str">
        <x:v>Quality rules</x:v>
      </x:c>
      <x:c r="B9" s="23" t="str"/>
      <x:c r="C9" s="23" t="str"/>
      <x:c r="D9" s="23" t="str"/>
      <x:c r="E9" s="23" t="str"/>
      <x:c r="F9" s="23" t="str"/>
      <x:c r="G9" s="23" t="str"/>
      <x:c r="H9" s="32" t="str"/>
    </x:row>
    <x:row r="10">
      <x:c r="A10" s="29" t="str">
        <x:v>1</x:v>
      </x:c>
      <x:c r="B10" s="22" t="str">
        <x:v>KIS/VQA GT uses event intervals.</x:v>
      </x:c>
      <x:c r="C10" s="22" t="str">
        <x:v>2</x:v>
      </x:c>
      <x:c r="D10" s="22" t="str">
        <x:v>TRAKE uses 9-frame windows.</x:v>
      </x:c>
      <x:c r="E10" s="22" t="str">
        <x:v>3</x:v>
      </x:c>
      <x:c r="F10" s="22" t="str">
        <x:v>Hard negatives are explicitly listed.</x:v>
      </x:c>
      <x:c r="G10" s="22" t="str">
        <x:v>4</x:v>
      </x:c>
      <x:c r="H10" s="30" t="str">
        <x:v>No unverified ASR-only query.</x:v>
      </x:c>
    </x:row>
    <x:row r="11">
      <x:c r="A11" s="33" t="str">
        <x:v>5</x:v>
      </x:c>
      <x:c r="B11" s="34" t="str">
        <x:v>Frame IDs use 30 FPS.</x:v>
      </x:c>
      <x:c r="C11" s="34" t="str">
        <x:v>6</x:v>
      </x:c>
      <x:c r="D11" s="34" t="str">
        <x:v>All outputs map to video, time and frame.</x:v>
      </x:c>
      <x:c r="E11" s="34" t="str">
        <x:v>7</x:v>
      </x:c>
      <x:c r="F11" s="34" t="str">
        <x:v>AVS requires dedup/event diversity.</x:v>
      </x:c>
      <x:c r="G11" s="34" t="str">
        <x:v>8</x:v>
      </x:c>
      <x:c r="H11" s="35" t="str">
        <x:v>English and Vietnamese variants included.</x:v>
      </x:c>
    </x:row>
  </x:sheetData>
  <x:mergeCells>
    <x:mergeCell ref="A1:H1"/>
  </x:mergeCells>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12" hidden="0" customWidth="1"/>
    <x:col min="3" max="3" width="12" hidden="0" customWidth="1"/>
    <x:col min="4" max="4" width="12" hidden="0" customWidth="1"/>
    <x:col min="5" max="5" width="12" hidden="0" customWidth="1"/>
    <x:col min="6" max="6" width="48" hidden="0" customWidth="1"/>
  </x:cols>
  <x:sheetData>
    <x:row r="1">
      <x:c r="A1" s="5" t="str">
        <x:v>Query Set Summary</x:v>
      </x:c>
      <x:c r="B1" s="5"/>
      <x:c r="C1" s="5"/>
      <x:c r="D1" s="5"/>
      <x:c r="E1" s="5"/>
      <x:c r="F1" s="5"/>
    </x:row>
    <x:row r="3">
      <x:c r="A3" s="57" t="str">
        <x:v>Task</x:v>
      </x:c>
      <x:c r="B3" s="58" t="str">
        <x:v>Total</x:v>
      </x:c>
      <x:c r="C3" s="58" t="str">
        <x:v>Easy</x:v>
      </x:c>
      <x:c r="D3" s="58" t="str">
        <x:v>Medium</x:v>
      </x:c>
      <x:c r="E3" s="58" t="str">
        <x:v>Hard</x:v>
      </x:c>
      <x:c r="F3" s="59" t="str">
        <x:v>Primary purpose</x:v>
      </x:c>
    </x:row>
    <x:row r="4">
      <x:c r="A4" s="26" t="str">
        <x:v>KIS</x:v>
      </x:c>
      <x:c r="B4" s="27" t="n">
        <x:f>COUNTA('KIS_Queries'!A2:A200)</x:f>
        <x:v>12</x:v>
      </x:c>
      <x:c r="C4" s="27" t="n">
        <x:f>COUNTIF('KIS_Queries'!B2:B200,"Easy")</x:f>
        <x:v>4</x:v>
      </x:c>
      <x:c r="D4" s="27" t="n">
        <x:f>COUNTIF('KIS_Queries'!B2:B200,"Medium")</x:f>
        <x:v>4</x:v>
      </x:c>
      <x:c r="E4" s="27" t="n">
        <x:f>COUNTIF('KIS_Queries'!B2:B200,"Hard")</x:f>
        <x:v>4</x:v>
      </x:c>
      <x:c r="F4" s="28" t="str">
        <x:v>Precise event retrieval and hard-negative discrimination</x:v>
      </x:c>
    </x:row>
    <x:row r="5">
      <x:c r="A5" s="29" t="str">
        <x:v>VQA</x:v>
      </x:c>
      <x:c r="B5" s="22" t="n">
        <x:f>COUNTA('VQA_Queries'!A2:A200)</x:f>
        <x:v>12</x:v>
      </x:c>
      <x:c r="C5" s="22" t="n">
        <x:f>COUNTIF('VQA_Queries'!B2:B200,"Easy")</x:f>
        <x:v>4</x:v>
      </x:c>
      <x:c r="D5" s="22" t="n">
        <x:f>COUNTIF('VQA_Queries'!B2:B200,"Medium")</x:f>
        <x:v>4</x:v>
      </x:c>
      <x:c r="E5" s="22" t="n">
        <x:f>COUNTIF('VQA_Queries'!B2:B200,"Hard")</x:f>
        <x:v>4</x:v>
      </x:c>
      <x:c r="F5" s="30" t="str">
        <x:v>Evidence localization plus normalized answer</x:v>
      </x:c>
    </x:row>
    <x:row r="6">
      <x:c r="A6" s="29" t="str">
        <x:v>AVS</x:v>
      </x:c>
      <x:c r="B6" s="22" t="n">
        <x:f>COUNTA('AVS_Queries'!A2:A200)</x:f>
        <x:v>8</x:v>
      </x:c>
      <x:c r="C6" s="22" t="n">
        <x:f>COUNTIF('AVS_Queries'!B2:B200,"Easy")</x:f>
        <x:v>2</x:v>
      </x:c>
      <x:c r="D6" s="22" t="n">
        <x:f>COUNTIF('AVS_Queries'!B2:B200,"Medium")</x:f>
        <x:v>3</x:v>
      </x:c>
      <x:c r="E6" s="22" t="n">
        <x:f>COUNTIF('AVS_Queries'!B2:B200,"Hard")</x:f>
        <x:v>3</x:v>
      </x:c>
      <x:c r="F6" s="30" t="str">
        <x:v>Multi-positive coverage, relevance and diversity</x:v>
      </x:c>
    </x:row>
    <x:row r="7">
      <x:c r="A7" s="33" t="str">
        <x:v>TRAKE</x:v>
      </x:c>
      <x:c r="B7" s="34" t="n">
        <x:f>COUNTA('TRAKE_Queries'!A2:A200)</x:f>
        <x:v>8</x:v>
      </x:c>
      <x:c r="C7" s="34" t="n">
        <x:f>COUNTIF('TRAKE_Queries'!B2:B200,"Easy")</x:f>
        <x:v>2</x:v>
      </x:c>
      <x:c r="D7" s="34" t="n">
        <x:f>COUNTIF('TRAKE_Queries'!B2:B200,"Medium")</x:f>
        <x:v>3</x:v>
      </x:c>
      <x:c r="E7" s="34" t="n">
        <x:f>COUNTIF('TRAKE_Queries'!B2:B200,"Hard")</x:f>
        <x:v>3</x:v>
      </x:c>
      <x:c r="F7" s="35" t="str">
        <x:v>Correct video plus ordered semantic-frame alignment</x:v>
      </x:c>
    </x:row>
    <x:row r="9">
      <x:c r="A9" s="57" t="str">
        <x:v>KPI</x:v>
      </x:c>
      <x:c r="B9" s="59" t="str">
        <x:v>Value</x:v>
      </x:c>
    </x:row>
    <x:row r="10">
      <x:c r="A10" s="26" t="str">
        <x:v>Total queries</x:v>
      </x:c>
      <x:c r="B10" s="28" t="n">
        <x:f>SUM(B4:B7)</x:f>
        <x:v>40</x:v>
      </x:c>
    </x:row>
    <x:row r="11">
      <x:c r="A11" s="29" t="str">
        <x:v>Video duration (min)</x:v>
      </x:c>
      <x:c r="B11" s="30" t="n">
        <x:v>21.03</x:v>
      </x:c>
    </x:row>
    <x:row r="12">
      <x:c r="A12" s="29" t="str">
        <x:v>Frames per second</x:v>
      </x:c>
      <x:c r="B12" s="30" t="n">
        <x:v>30</x:v>
      </x:c>
    </x:row>
    <x:row r="13">
      <x:c r="A13" s="33" t="str">
        <x:v>TRAKE GT window</x:v>
      </x:c>
      <x:c r="B13" s="35" t="str">
        <x:v>9 frames (±4)</x:v>
      </x:c>
    </x:row>
  </x:sheetData>
  <x:mergeCells>
    <x:mergeCell ref="A1:F1"/>
  </x:mergeCells>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30" hidden="0" customWidth="1"/>
    <x:col min="3" max="3" width="12" hidden="0" customWidth="1"/>
    <x:col min="4" max="4" width="12" hidden="0" customWidth="1"/>
    <x:col min="5" max="5" width="14" hidden="0" customWidth="1"/>
    <x:col min="6" max="6" width="14" hidden="0" customWidth="1"/>
    <x:col min="7" max="7" width="46" hidden="0" customWidth="1"/>
    <x:col min="8" max="8" width="42" hidden="0" customWidth="1"/>
    <x:col min="9" max="9" width="44" hidden="0" customWidth="1"/>
    <x:col min="10" max="10" width="24" hidden="0" customWidth="1"/>
  </x:cols>
  <x:sheetData>
    <x:row r="1">
      <x:c r="A1" s="57" t="str">
        <x:v>event_id</x:v>
      </x:c>
      <x:c r="B1" s="58" t="str">
        <x:v>title_vi</x:v>
      </x:c>
      <x:c r="C1" s="58" t="str">
        <x:v>start_sec</x:v>
      </x:c>
      <x:c r="D1" s="58" t="str">
        <x:v>end_sec</x:v>
      </x:c>
      <x:c r="E1" s="58" t="str">
        <x:v>start_frame</x:v>
      </x:c>
      <x:c r="F1" s="58" t="str">
        <x:v>end_frame</x:v>
      </x:c>
      <x:c r="G1" s="58" t="str">
        <x:v>summary_vi</x:v>
      </x:c>
      <x:c r="H1" s="58" t="str">
        <x:v>visual_cues</x:v>
      </x:c>
      <x:c r="I1" s="58" t="str">
        <x:v>ocr_cues</x:v>
      </x:c>
      <x:c r="J1" s="59" t="str">
        <x:v>quality</x:v>
      </x:c>
    </x:row>
    <x:row r="2">
      <x:c r="A2" s="26" t="str">
        <x:v>E01_SATLO</x:v>
      </x:c>
      <x:c r="B2" s="27" t="str">
        <x:v>Sạt lở bờ sông tại Cần Thơ</x:v>
      </x:c>
      <x:c r="C2" s="27" t="n">
        <x:v>62.9</x:v>
      </x:c>
      <x:c r="D2" s="27" t="n">
        <x:v>165.5</x:v>
      </x:c>
      <x:c r="E2" s="27" t="n">
        <x:v>1887</x:v>
      </x:c>
      <x:c r="F2" s="27" t="n">
        <x:v>4965</x:v>
      </x:c>
      <x:c r="G2" s="27" t="str">
        <x:v>Bờ sông sạt lở cạnh khu dân cư; có biển cảnh báo, họp bàn, bản vẽ kỹ thuật và đoàn khảo sát công trình kè.</x:v>
      </x:c>
      <x:c r="H2" s="27" t="str">
        <x:v>riverbank collapse; warning sign; officials; technical map; damaged road; concrete embankment</x:v>
      </x:c>
      <x:c r="I2" s="27" t="str">
        <x:v>CẢNH BÁO SẠT LỞ NGUY HIỂM; Cần Thơ thiệt hại hơn 14,5 tỷ đồng do sạt lở bờ sông</x:v>
      </x:c>
      <x:c r="J2" s="28" t="str">
        <x:v>visual+OCR verified</x:v>
      </x:c>
    </x:row>
    <x:row r="3">
      <x:c r="A3" s="29" t="str">
        <x:v>E02_GIENG_NUOC</x:v>
      </x:c>
      <x:c r="B3" s="22" t="str">
        <x:v>Giếng nước cạn khô bất ngờ phun cột nước</x:v>
      </x:c>
      <x:c r="C3" s="22" t="n">
        <x:v>189</x:v>
      </x:c>
      <x:c r="D3" s="22" t="n">
        <x:v>239.5</x:v>
      </x:c>
      <x:c r="E3" s="22" t="n">
        <x:v>5670</x:v>
      </x:c>
      <x:c r="F3" s="22" t="n">
        <x:v>7185</x:v>
      </x:c>
      <x:c r="G3" s="22" t="str">
        <x:v>Một cột nước trắng phun cao giữa khu đất; người dân tiến lại gần, hứng nước và chỉ vào cột nước.</x:v>
      </x:c>
      <x:c r="H3" s="22" t="str">
        <x:v>vertical water plume; man; bottle/cup; rural ground</x:v>
      </x:c>
      <x:c r="I3" s="22" t="str">
        <x:v>Chuyện lạ: giếng nước cạn khô bỗng phun cao hàng chục mét</x:v>
      </x:c>
      <x:c r="J3" s="30" t="str">
        <x:v>visual+OCR verified</x:v>
      </x:c>
    </x:row>
    <x:row r="4">
      <x:c r="A4" s="29" t="str">
        <x:v>E03_GHEP_TIM</x:v>
      </x:c>
      <x:c r="B4" s="22" t="str">
        <x:v>Vận chuyển trái tim để ghép cho bệnh nhân</x:v>
      </x:c>
      <x:c r="C4" s="22" t="n">
        <x:v>257</x:v>
      </x:c>
      <x:c r="D4" s="22" t="n">
        <x:v>315</x:v>
      </x:c>
      <x:c r="E4" s="22" t="n">
        <x:v>7710</x:v>
      </x:c>
      <x:c r="F4" s="22" t="n">
        <x:v>9450</x:v>
      </x:c>
      <x:c r="G4" s="22" t="str">
        <x:v>Máy bay hạ cánh ban đêm, đội y tế vận chuyển thùng chuyên dụng lên xe cứu thương rồi tiến hành phẫu thuật.</x:v>
      </x:c>
      <x:c r="H4" s="22" t="str">
        <x:v>airport at night; medical team; transport container; ambulance; operating room</x:v>
      </x:c>
      <x:c r="I4" s="22" t="str">
        <x:v>Trái tim từ Hà Nội được vận chuyển cấp tốc về Huế ghép cho bệnh nhân</x:v>
      </x:c>
      <x:c r="J4" s="30" t="str">
        <x:v>visual+OCR verified</x:v>
      </x:c>
    </x:row>
    <x:row r="5">
      <x:c r="A5" s="29" t="str">
        <x:v>E04_CA_TRA</x:v>
      </x:c>
      <x:c r="B5" s="22" t="str">
        <x:v>Giá cá tra thấp, người nuôi lo lắng</x:v>
      </x:c>
      <x:c r="C5" s="22" t="n">
        <x:v>325</x:v>
      </x:c>
      <x:c r="D5" s="22" t="n">
        <x:v>390</x:v>
      </x:c>
      <x:c r="E5" s="22" t="n">
        <x:v>9750</x:v>
      </x:c>
      <x:c r="F5" s="22" t="n">
        <x:v>11700</x:v>
      </x:c>
      <x:c r="G5" s="22" t="str">
        <x:v>Ao nuôi cá, người dân phỏng vấn, cá được thu hoạch và xử lý.</x:v>
      </x:c>
      <x:c r="H5" s="22" t="str">
        <x:v>fish ponds; fish; farmer; processing table</x:v>
      </x:c>
      <x:c r="I5" s="22" t="str">
        <x:v>Giá cá tra thấp, người nuôi lo lắng</x:v>
      </x:c>
      <x:c r="J5" s="30" t="str">
        <x:v>visual+OCR verified</x:v>
      </x:c>
    </x:row>
    <x:row r="6">
      <x:c r="A6" s="29" t="str">
        <x:v>E05_TROM_TAI_SAN</x:v>
      </x:c>
      <x:c r="B6" s="22" t="str">
        <x:v>Nhóm đối tượng liên quan trộm tài sản</x:v>
      </x:c>
      <x:c r="C6" s="22" t="n">
        <x:v>419</x:v>
      </x:c>
      <x:c r="D6" s="22" t="n">
        <x:v>500</x:v>
      </x:c>
      <x:c r="E6" s="22" t="n">
        <x:v>12570</x:v>
      </x:c>
      <x:c r="F6" s="22" t="n">
        <x:v>15000</x:v>
      </x:c>
      <x:c r="G6" s="22" t="str">
        <x:v>Nhiều người làm việc với công an, cầm giấy tường trình và xuất hiện trong phòng làm việc.</x:v>
      </x:c>
      <x:c r="H6" s="22" t="str">
        <x:v>police office; suspects; written statements</x:v>
      </x:c>
      <x:c r="I6" s="22" t="str">
        <x:v>TP.HCM: bắt giữ nhóm đối tượng trộm tài sản</x:v>
      </x:c>
      <x:c r="J6" s="30" t="str">
        <x:v>visual+OCR verified</x:v>
      </x:c>
    </x:row>
    <x:row r="7">
      <x:c r="A7" s="29" t="str">
        <x:v>E06_LUA_DAO</x:v>
      </x:c>
      <x:c r="B7" s="22" t="str">
        <x:v>Bắt đối tượng lừa đảo chiếm đoạt trên 10 tỷ đồng</x:v>
      </x:c>
      <x:c r="C7" s="22" t="n">
        <x:v>506</x:v>
      </x:c>
      <x:c r="D7" s="22" t="n">
        <x:v>575</x:v>
      </x:c>
      <x:c r="E7" s="22" t="n">
        <x:v>15180</x:v>
      </x:c>
      <x:c r="F7" s="22" t="n">
        <x:v>17250</x:v>
      </x:c>
      <x:c r="G7" s="22" t="str">
        <x:v>Một người mặc đồng phục phạm nhân sọc xanh trắng làm việc với cán bộ công an.</x:v>
      </x:c>
      <x:c r="H7" s="22" t="str">
        <x:v>striped detention uniform; police officer; interview room</x:v>
      </x:c>
      <x:c r="I7" s="22" t="str">
        <x:v>Bắt đối tượng lừa đảo chiếm đoạt trên 10 tỷ đồng</x:v>
      </x:c>
      <x:c r="J7" s="30" t="str">
        <x:v>visual+OCR verified</x:v>
      </x:c>
    </x:row>
    <x:row r="8">
      <x:c r="A8" s="29" t="str">
        <x:v>E07_DOI_TUONG_XAM</x:v>
      </x:c>
      <x:c r="B8" s="22" t="str">
        <x:v>Đối tượng có nhiều hình xăm làm việc với công an</x:v>
      </x:c>
      <x:c r="C8" s="22" t="n">
        <x:v>580</x:v>
      </x:c>
      <x:c r="D8" s="22" t="n">
        <x:v>650</x:v>
      </x:c>
      <x:c r="E8" s="22" t="n">
        <x:v>17400</x:v>
      </x:c>
      <x:c r="F8" s="22" t="n">
        <x:v>19500</x:v>
      </x:c>
      <x:c r="G8" s="22" t="str">
        <x:v>Người đàn ông mặc áo đen có hình xăm ở tay và cổ xuất hiện trong phòng làm việc.</x:v>
      </x:c>
      <x:c r="H8" s="22" t="str">
        <x:v>tattooed man; black shirt; desk; police</x:v>
      </x:c>
      <x:c r="I8" s="22" t="str">
        <x:v>Tin hình sự liên quan đối tượng ra đầu thú</x:v>
      </x:c>
      <x:c r="J8" s="30" t="str">
        <x:v>visual verified; headline partly readable</x:v>
      </x:c>
    </x:row>
    <x:row r="9">
      <x:c r="A9" s="29" t="str">
        <x:v>E08_5_XE_MAY</x:v>
      </x:c>
      <x:c r="B9" s="22" t="str">
        <x:v>Năm xe máy va chạm liên hoàn trên Quốc lộ 1A</x:v>
      </x:c>
      <x:c r="C9" s="22" t="n">
        <x:v>652</x:v>
      </x:c>
      <x:c r="D9" s="22" t="n">
        <x:v>730</x:v>
      </x:c>
      <x:c r="E9" s="22" t="n">
        <x:v>19560</x:v>
      </x:c>
      <x:c r="F9" s="22" t="n">
        <x:v>21900</x:v>
      </x:c>
      <x:c r="G9" s="22" t="str">
        <x:v>Hiện trường ban đêm với lực lượng chức năng, nhiều xe máy hư hỏng và cận cảnh biển số.</x:v>
      </x:c>
      <x:c r="H9" s="22" t="str">
        <x:v>night road; responders; damaged motorcycles; license plates</x:v>
      </x:c>
      <x:c r="I9" s="22" t="str">
        <x:v>Tiền Giang: 5 xe máy va chạm liên hoàn trên Quốc lộ 1A</x:v>
      </x:c>
      <x:c r="J9" s="30" t="str">
        <x:v>visual+OCR verified</x:v>
      </x:c>
    </x:row>
    <x:row r="10">
      <x:c r="A10" s="29" t="str">
        <x:v>E09_LO_DAT_AN_DO</x:v>
      </x:c>
      <x:c r="B10" s="22" t="str">
        <x:v>Tìm kiếm nạn nhân trong các trận lở đất tại Ấn Độ</x:v>
      </x:c>
      <x:c r="C10" s="22" t="n">
        <x:v>839</x:v>
      </x:c>
      <x:c r="D10" s="22" t="n">
        <x:v>884</x:v>
      </x:c>
      <x:c r="E10" s="22" t="n">
        <x:v>25170</x:v>
      </x:c>
      <x:c r="F10" s="22" t="n">
        <x:v>26520</x:v>
      </x:c>
      <x:c r="G10" s="22" t="str">
        <x:v>Khu dân cư ngập bùn, dòng nước đục, máy móc và lực lượng tìm kiếm làm việc.</x:v>
      </x:c>
      <x:c r="H10" s="22" t="str">
        <x:v>mudslide; muddy river; excavator; search teams; damaged houses</x:v>
      </x:c>
      <x:c r="I10" s="22" t="str">
        <x:v>Ấn Độ: tìm kiếm các nạn nhân trong các trận lở đất</x:v>
      </x:c>
      <x:c r="J10" s="30" t="str">
        <x:v>visual+OCR verified</x:v>
      </x:c>
    </x:row>
    <x:row r="11">
      <x:c r="A11" s="29" t="str">
        <x:v>E10_CHAY_RUNG</x:v>
      </x:c>
      <x:c r="B11" s="22" t="str">
        <x:v>Nắng nóng và cháy rừng tại châu Âu</x:v>
      </x:c>
      <x:c r="C11" s="22" t="n">
        <x:v>889</x:v>
      </x:c>
      <x:c r="D11" s="22" t="n">
        <x:v>950</x:v>
      </x:c>
      <x:c r="E11" s="22" t="n">
        <x:v>26670</x:v>
      </x:c>
      <x:c r="F11" s="22" t="n">
        <x:v>28500</x:v>
      </x:c>
      <x:c r="G11" s="22" t="str">
        <x:v>Sườn đồi cháy dữ dội ban đêm, xe cứu hỏa bật đèn xanh, trực thăng mang túi nước và cảnh rừng cháy sau đó.</x:v>
      </x:c>
      <x:c r="H11" s="22" t="str">
        <x:v>wildfire; fire engine; blue emergency lights; helicopter bucket; burnt forest</x:v>
      </x:c>
      <x:c r="I11" s="22" t="str">
        <x:v>Châu Âu: nắng nóng và cháy rừng hoành hành tại nhiều nước</x:v>
      </x:c>
      <x:c r="J11" s="30" t="str">
        <x:v>visual+OCR verified</x:v>
      </x:c>
    </x:row>
    <x:row r="12">
      <x:c r="A12" s="29" t="str">
        <x:v>E11_COPENPAY</x:v>
      </x:c>
      <x:c r="B12" s="22" t="str">
        <x:v>CopenPay khuyến khích du khách hành động xanh</x:v>
      </x:c>
      <x:c r="C12" s="22" t="n">
        <x:v>962</x:v>
      </x:c>
      <x:c r="D12" s="22" t="n">
        <x:v>1020</x:v>
      </x:c>
      <x:c r="E12" s="22" t="n">
        <x:v>28860</x:v>
      </x:c>
      <x:c r="F12" s="22" t="n">
        <x:v>30600</x:v>
      </x:c>
      <x:c r="G12" s="22" t="str">
        <x:v>Du khách đi thuyền trên kênh, đi xe đạp và tham quan bảo tàng trong chương trình khuyến khích hành vi xanh.</x:v>
      </x:c>
      <x:c r="H12" s="22" t="str">
        <x:v>Copenhagen canal; green boats; sightseeing boat; cyclist; museum interior</x:v>
      </x:c>
      <x:c r="I12" s="22" t="str">
        <x:v>Đan Mạch: khuyến khích du khách tham gia làm sạch môi trường</x:v>
      </x:c>
      <x:c r="J12" s="30" t="str">
        <x:v>visual+OCR verified</x:v>
      </x:c>
    </x:row>
    <x:row r="13">
      <x:c r="A13" s="29" t="str">
        <x:v>E12_CA_MU_NAU</x:v>
      </x:c>
      <x:c r="B13" s="22" t="str">
        <x:v>Cá mú nâu hồi sinh nhờ bảo tồn</x:v>
      </x:c>
      <x:c r="C13" s="22" t="n">
        <x:v>1025</x:v>
      </x:c>
      <x:c r="D13" s="22" t="n">
        <x:v>1100</x:v>
      </x:c>
      <x:c r="E13" s="22" t="n">
        <x:v>30750</x:v>
      </x:c>
      <x:c r="F13" s="22" t="n">
        <x:v>33000</x:v>
      </x:c>
      <x:c r="G13" s="22" t="str">
        <x:v>Cá mú lớn bơi giữa đàn cá; thợ lặn khảo sát đáy biển và quan sát sinh vật dưới nước.</x:v>
      </x:c>
      <x:c r="H13" s="22" t="str">
        <x:v>large brown grouper; divers; fish school; rocky seabed</x:v>
      </x:c>
      <x:c r="I13" s="22" t="str">
        <x:v>Pháp: loài cá mú nâu hồi sinh nhờ nỗ lực bảo tồn</x:v>
      </x:c>
      <x:c r="J13" s="30" t="str">
        <x:v>visual+OCR verified</x:v>
      </x:c>
    </x:row>
    <x:row r="14">
      <x:c r="A14" s="29" t="str">
        <x:v>E13_CHO_RUA</x:v>
      </x:c>
      <x:c r="B14" s="22" t="str">
        <x:v>Chó đánh hơi tìm tổ trứng rùa biển</x:v>
      </x:c>
      <x:c r="C14" s="22" t="n">
        <x:v>1105</x:v>
      </x:c>
      <x:c r="D14" s="22" t="n">
        <x:v>1170</x:v>
      </x:c>
      <x:c r="E14" s="22" t="n">
        <x:v>33150</x:v>
      </x:c>
      <x:c r="F14" s="22" t="n">
        <x:v>35100</x:v>
      </x:c>
      <x:c r="G14" s="22" t="str">
        <x:v>Chó tìm kiếm trên bãi biển, làm việc cùng người hướng dẫn; sau đó có trung tâm cứu hộ, rùa biển và cảnh thả rùa xuống nước.</x:v>
      </x:c>
      <x:c r="H14" s="22" t="str">
        <x:v>sniffer dog; beach; handler; rescue center; sea turtle; boat release</x:v>
      </x:c>
      <x:c r="I14" s="22" t="str">
        <x:v>Italia sử dụng chó đánh hơi tổ trứng rùa biển để bảo vệ</x:v>
      </x:c>
      <x:c r="J14" s="30" t="str">
        <x:v>visual+OCR verified</x:v>
      </x:c>
    </x:row>
    <x:row r="15">
      <x:c r="A15" s="29" t="str">
        <x:v>E14_CHUNG_CU</x:v>
      </x:c>
      <x:c r="B15" s="22" t="str">
        <x:v>Điều tra vụ người phụ nữ rơi từ chung cư tử vong</x:v>
      </x:c>
      <x:c r="C15" s="22" t="n">
        <x:v>1178</x:v>
      </x:c>
      <x:c r="D15" s="22" t="n">
        <x:v>1204</x:v>
      </x:c>
      <x:c r="E15" s="22" t="n">
        <x:v>35340</x:v>
      </x:c>
      <x:c r="F15" s="22" t="n">
        <x:v>36120</x:v>
      </x:c>
      <x:c r="G15" s="22" t="str">
        <x:v>Hiện trường ban đêm trước chung cư, khu vực được phong tỏa và có xe chuyên dụng.</x:v>
      </x:c>
      <x:c r="H15" s="22" t="str">
        <x:v>night; apartment gate; cordon; emergency vehicle</x:v>
      </x:c>
      <x:c r="I15" s="22" t="str">
        <x:v>Bình Dương: điều tra người phụ nữ rơi chung cư tử vong</x:v>
      </x:c>
      <x:c r="J15" s="30" t="str">
        <x:v>visual+OCR verified</x:v>
      </x:c>
    </x:row>
    <x:row r="16">
      <x:c r="A16" s="33" t="str">
        <x:v>E15_XE_TAI</x:v>
      </x:c>
      <x:c r="B16" s="34" t="str">
        <x:v>Va chạm xe tải khiến người đi xe máy tử vong</x:v>
      </x:c>
      <x:c r="C16" s="34" t="n">
        <x:v>1208</x:v>
      </x:c>
      <x:c r="D16" s="34" t="n">
        <x:v>1248</x:v>
      </x:c>
      <x:c r="E16" s="34" t="n">
        <x:v>36240</x:v>
      </x:c>
      <x:c r="F16" s="34" t="n">
        <x:v>37440</x:v>
      </x:c>
      <x:c r="G16" s="34" t="str">
        <x:v>Hiện trường đường phố ban đêm, xe tải dừng trên đường, lực lượng chức năng và xe cứu thương xử lý vụ việc.</x:v>
      </x:c>
      <x:c r="H16" s="34" t="str">
        <x:v>night street; truck; responders; ambulance; road scene</x:v>
      </x:c>
      <x:c r="I16" s="34" t="str">
        <x:v>TP.HCM: va chạm xe tải, người điều khiển xe máy tử vong</x:v>
      </x:c>
      <x:c r="J16" s="35" t="str">
        <x:v>visual+OCR verified</x:v>
      </x:c>
    </x:row>
  </x:sheetData>
  <x:pageMargins left="0.7" right="0.7" top="0.75" bottom="0.75" header="0.3" footer="0.3"/>
  <x:tableParts count="1">
    <x:tablePart xmlns:r="http://schemas.openxmlformats.org/officeDocument/2006/relationships" r:id="Re809419737ee4a3f"/>
  </x:tableParts>
</x:worksheet>
</file>

<file path=xl/worksheets/sheet4.xml><?xml version="1.0" encoding="utf-8"?>
<x:worksheet xmlns:x="http://schemas.openxmlformats.org/spreadsheetml/2006/main">
  <x:sheetFormatPr defaultRowHeight="15"/>
  <x:cols>
    <x:col min="1" max="1" width="14" hidden="0" customWidth="1"/>
    <x:col min="2" max="2" width="11" hidden="0" customWidth="1"/>
    <x:col min="3" max="3" width="52" hidden="0" customWidth="1"/>
    <x:col min="4" max="4" width="52" hidden="0" customWidth="1"/>
    <x:col min="5" max="5" width="46" hidden="0" customWidth="1"/>
    <x:col min="6" max="6" width="34" hidden="0" customWidth="1"/>
    <x:col min="7" max="7" width="18" hidden="0" customWidth="1"/>
    <x:col min="8" max="8" width="14" hidden="0" customWidth="1"/>
    <x:col min="9" max="9" width="11" hidden="0" customWidth="1"/>
    <x:col min="10" max="10" width="11" hidden="0" customWidth="1"/>
    <x:col min="11" max="11" width="13" hidden="0" customWidth="1"/>
    <x:col min="12" max="12" width="13" hidden="0" customWidth="1"/>
    <x:col min="13" max="13" width="18" hidden="0" customWidth="1"/>
    <x:col min="14" max="14" width="44" hidden="0" customWidth="1"/>
    <x:col min="15" max="15" width="28" hidden="0" customWidth="1"/>
    <x:col min="16" max="16" width="40" hidden="0" customWidth="1"/>
    <x:col min="17" max="17" width="40" hidden="0" customWidth="1"/>
  </x:cols>
  <x:sheetData>
    <x:row r="1">
      <x:c r="A1" s="57" t="str">
        <x:v>query_id</x:v>
      </x:c>
      <x:c r="B1" s="58" t="str">
        <x:v>difficulty</x:v>
      </x:c>
      <x:c r="C1" s="58" t="str">
        <x:v>query_vi</x:v>
      </x:c>
      <x:c r="D1" s="58" t="str">
        <x:v>query_en</x:v>
      </x:c>
      <x:c r="E1" s="58" t="str">
        <x:v>dense_query_en</x:v>
      </x:c>
      <x:c r="F1" s="58" t="str">
        <x:v>sparse_terms</x:v>
      </x:c>
      <x:c r="G1" s="58" t="str">
        <x:v>event_id</x:v>
      </x:c>
      <x:c r="H1" s="58" t="str">
        <x:v>target_video</x:v>
      </x:c>
      <x:c r="I1" s="58" t="str">
        <x:v>start_sec</x:v>
      </x:c>
      <x:c r="J1" s="58" t="str">
        <x:v>end_sec</x:v>
      </x:c>
      <x:c r="K1" s="58" t="str">
        <x:v>start_frame</x:v>
      </x:c>
      <x:c r="L1" s="58" t="str">
        <x:v>end_frame</x:v>
      </x:c>
      <x:c r="M1" s="58" t="str">
        <x:v>representative_frame</x:v>
      </x:c>
      <x:c r="N1" s="58" t="str">
        <x:v>hard_negative</x:v>
      </x:c>
      <x:c r="O1" s="58" t="str">
        <x:v>required_modalities</x:v>
      </x:c>
      <x:c r="P1" s="58" t="str">
        <x:v>diagnostic_tags</x:v>
      </x:c>
      <x:c r="Q1" s="59" t="str">
        <x:v>quality_note</x:v>
      </x:c>
    </x:row>
    <x:row r="2">
      <x:c r="A2" s="26" t="str">
        <x:v>KIS_E01</x:v>
      </x:c>
      <x:c r="B2" s="27" t="str">
        <x:v>Easy</x:v>
      </x:c>
      <x:c r="C2" s="27" t="str">
        <x:v>Tìm cảnh có biển màu vàng đỏ ghi “Cảnh báo sạt lở nguy hiểm” đặt cạnh khu dân cư ven sông bị sụt lún.</x:v>
      </x:c>
      <x:c r="D2" s="27" t="str">
        <x:v>Find the scene with a yellow-red “Dangerous riverbank erosion” warning sign beside a residential riverside area.</x:v>
      </x:c>
      <x:c r="E2" s="27" t="str">
        <x:v>A warning sign stands beside a collapsed riverbank near houses and muddy water.</x:v>
      </x:c>
      <x:c r="F2" s="27" t="str">
        <x:v>cảnh báo sạt lở nguy hiểm | riverbank erosion warning | Cần Thơ</x:v>
      </x:c>
      <x:c r="G2" s="27" t="str">
        <x:v>E01_SATLO</x:v>
      </x:c>
      <x:c r="H2" s="27" t="str">
        <x:v>L21_V001</x:v>
      </x:c>
      <x:c r="I2" s="27" t="n">
        <x:v>72.5</x:v>
      </x:c>
      <x:c r="J2" s="27" t="n">
        <x:v>78.5</x:v>
      </x:c>
      <x:c r="K2" s="27" t="n">
        <x:v>2175</x:v>
      </x:c>
      <x:c r="L2" s="27" t="n">
        <x:v>2355</x:v>
      </x:c>
      <x:c r="M2" s="27" t="n">
        <x:v>2250</x:v>
      </x:c>
      <x:c r="N2" s="27" t="str">
        <x:v>00:07–00:13 opening headline shows erosion but not the warning sign</x:v>
      </x:c>
      <x:c r="O2" s="27" t="str">
        <x:v>OCR, visual, caption</x:v>
      </x:c>
      <x:c r="P2" s="27" t="str">
        <x:v>OCR exact phrase; headline duplicate; scene localization</x:v>
      </x:c>
      <x:c r="Q2" s="28" t="str">
        <x:v>GT built from direct visual/OCR inspection; no ASR-only assumptions.</x:v>
      </x:c>
    </x:row>
    <x:row r="3">
      <x:c r="A3" s="29" t="str">
        <x:v>KIS_E02</x:v>
      </x:c>
      <x:c r="B3" s="22" t="str">
        <x:v>Easy</x:v>
      </x:c>
      <x:c r="C3" s="22" t="str">
        <x:v>Tìm cảnh một cột nước trắng phun thẳng đứng rất cao từ mặt đất, có một người đàn ông đứng sát bên quan sát.</x:v>
      </x:c>
      <x:c r="D3" s="22" t="str">
        <x:v>Find a tall white column of water erupting vertically from the ground while a man stands close to it.</x:v>
      </x:c>
      <x:c r="E3" s="22" t="str">
        <x:v>A man stands next to a powerful vertical water plume in a rural open area.</x:v>
      </x:c>
      <x:c r="F3" s="22" t="str">
        <x:v>giếng nước cạn khô | cột nước phun cao | water plume</x:v>
      </x:c>
      <x:c r="G3" s="22" t="str">
        <x:v>E02_GIENG_NUOC</x:v>
      </x:c>
      <x:c r="H3" s="22" t="str">
        <x:v>L21_V001</x:v>
      </x:c>
      <x:c r="I3" s="22" t="n">
        <x:v>198</x:v>
      </x:c>
      <x:c r="J3" s="22" t="n">
        <x:v>229</x:v>
      </x:c>
      <x:c r="K3" s="22" t="n">
        <x:v>5940</x:v>
      </x:c>
      <x:c r="L3" s="22" t="n">
        <x:v>6870</x:v>
      </x:c>
      <x:c r="M3" s="22" t="n">
        <x:v>6390</x:v>
      </x:c>
      <x:c r="N3" s="22" t="str">
        <x:v>none strong inside the video</x:v>
      </x:c>
      <x:c r="O3" s="22" t="str">
        <x:v>visual, caption, object-action</x:v>
      </x:c>
      <x:c r="P3" s="22" t="str">
        <x:v>unusual event; vertical composition; portrait-source black bars</x:v>
      </x:c>
      <x:c r="Q3" s="30" t="str">
        <x:v>GT built from direct visual/OCR inspection; no ASR-only assumptions.</x:v>
      </x:c>
    </x:row>
    <x:row r="4">
      <x:c r="A4" s="29" t="str">
        <x:v>KIS_E03</x:v>
      </x:c>
      <x:c r="B4" s="22" t="str">
        <x:v>Easy</x:v>
      </x:c>
      <x:c r="C4" s="22" t="str">
        <x:v>Tìm đoạn đội y tế vận chuyển một thùng chuyên dụng lên xe cứu thương vào ban đêm trước khi chuyển sang cảnh phẫu thuật.</x:v>
      </x:c>
      <x:c r="D4" s="22" t="str">
        <x:v>Find the segment where a medical team loads a specialized container into an ambulance at night before the video cuts to surgery.</x:v>
      </x:c>
      <x:c r="E4" s="22" t="str">
        <x:v>Medical staff carry a transplant container to an ambulance at night, followed by an operating room.</x:v>
      </x:c>
      <x:c r="F4" s="22" t="str">
        <x:v>trái tim Hà Nội Huế | ambulance | transplant surgery</x:v>
      </x:c>
      <x:c r="G4" s="22" t="str">
        <x:v>E03_GHEP_TIM</x:v>
      </x:c>
      <x:c r="H4" s="22" t="str">
        <x:v>L21_V001</x:v>
      </x:c>
      <x:c r="I4" s="22" t="n">
        <x:v>265</x:v>
      </x:c>
      <x:c r="J4" s="22" t="n">
        <x:v>306</x:v>
      </x:c>
      <x:c r="K4" s="22" t="n">
        <x:v>7950</x:v>
      </x:c>
      <x:c r="L4" s="22" t="n">
        <x:v>9180</x:v>
      </x:c>
      <x:c r="M4" s="22" t="n">
        <x:v>8070</x:v>
      </x:c>
      <x:c r="N4" s="22" t="str">
        <x:v>night emergency scenes at 14:55, 19:40 and 20:10</x:v>
      </x:c>
      <x:c r="O4" s="22" t="str">
        <x:v>visual, caption, temporal, OCR</x:v>
      </x:c>
      <x:c r="P4" s="22" t="str">
        <x:v>multi-shot event; night; emergency-vehicle confusion</x:v>
      </x:c>
      <x:c r="Q4" s="30" t="str">
        <x:v>GT built from direct visual/OCR inspection; no ASR-only assumptions.</x:v>
      </x:c>
    </x:row>
    <x:row r="5">
      <x:c r="A5" s="29" t="str">
        <x:v>KIS_E04</x:v>
      </x:c>
      <x:c r="B5" s="22" t="str">
        <x:v>Easy</x:v>
      </x:c>
      <x:c r="C5" s="22" t="str">
        <x:v>Tìm hiện trường ban đêm của vụ năm xe máy va chạm liên hoàn, có nhiều xe máy hư hỏng và lực lượng chức năng kiểm tra trên đường.</x:v>
      </x:c>
      <x:c r="D5" s="22" t="str">
        <x:v>Find the nighttime scene of a five-motorcycle chain collision, with damaged motorcycles and responders inspecting the road.</x:v>
      </x:c>
      <x:c r="E5" s="22" t="str">
        <x:v>Several damaged motorcycles lie on a road at night while responders investigate.</x:v>
      </x:c>
      <x:c r="F5" s="22" t="str">
        <x:v>5 xe máy | va chạm liên hoàn | Quốc lộ 1A</x:v>
      </x:c>
      <x:c r="G5" s="22" t="str">
        <x:v>E08_5_XE_MAY</x:v>
      </x:c>
      <x:c r="H5" s="22" t="str">
        <x:v>L21_V001</x:v>
      </x:c>
      <x:c r="I5" s="22" t="n">
        <x:v>655</x:v>
      </x:c>
      <x:c r="J5" s="22" t="n">
        <x:v>705</x:v>
      </x:c>
      <x:c r="K5" s="22" t="n">
        <x:v>19650</x:v>
      </x:c>
      <x:c r="L5" s="22" t="n">
        <x:v>21150</x:v>
      </x:c>
      <x:c r="M5" s="22" t="n">
        <x:v>20100</x:v>
      </x:c>
      <x:c r="N5" s="22" t="str">
        <x:v>20:08–20:48 final truck–motorcycle fatal collision</x:v>
      </x:c>
      <x:c r="O5" s="22" t="str">
        <x:v>OCR, visual, object</x:v>
      </x:c>
      <x:c r="P5" s="22" t="str">
        <x:v>numeric OCR; same-domain hard negative; low light</x:v>
      </x:c>
      <x:c r="Q5" s="30" t="str">
        <x:v>GT built from direct visual/OCR inspection; no ASR-only assumptions.</x:v>
      </x:c>
    </x:row>
    <x:row r="6">
      <x:c r="A6" s="29" t="str">
        <x:v>KIS_M01</x:v>
      </x:c>
      <x:c r="B6" s="22" t="str">
        <x:v>Medium</x:v>
      </x:c>
      <x:c r="C6" s="22" t="str">
        <x:v>Tìm đoạn một nhóm cán bộ đội mũ rộng vành tập trung quanh bản vẽ kỹ thuật lớn, sau đó khảo sát phần đường và công trình bê tông ven sông bị hư hỏng.</x:v>
      </x:c>
      <x:c r="D6" s="22" t="str">
        <x:v>Find the segment where officials in wide-brimmed hats gather around a large technical plan and then inspect a damaged riverside road and concrete structure.</x:v>
      </x:c>
      <x:c r="E6" s="22" t="str">
        <x:v>Officials discuss a large engineering map and inspect a damaged concrete river embankment.</x:v>
      </x:c>
      <x:c r="F6" s="22" t="str">
        <x:v>bản vẽ kỹ thuật | khảo sát kè | sạt lở bờ sông</x:v>
      </x:c>
      <x:c r="G6" s="22" t="str">
        <x:v>E01_SATLO</x:v>
      </x:c>
      <x:c r="H6" s="22" t="str">
        <x:v>L21_V001</x:v>
      </x:c>
      <x:c r="I6" s="22" t="n">
        <x:v>126</x:v>
      </x:c>
      <x:c r="J6" s="22" t="n">
        <x:v>165</x:v>
      </x:c>
      <x:c r="K6" s="22" t="n">
        <x:v>3780</x:v>
      </x:c>
      <x:c r="L6" s="22" t="n">
        <x:v>4950</x:v>
      </x:c>
      <x:c r="M6" s="22" t="n">
        <x:v>4050</x:v>
      </x:c>
      <x:c r="N6" s="22" t="str">
        <x:v>meeting-room shots at 01:35–01:50 contain officials but no map/field inspection sequence</x:v>
      </x:c>
      <x:c r="O6" s="22" t="str">
        <x:v>caption, visual, temporal, OCR</x:v>
      </x:c>
      <x:c r="P6" s="22" t="str">
        <x:v>compositional query; multi-shot grouping; technical document</x:v>
      </x:c>
      <x:c r="Q6" s="30" t="str">
        <x:v>GT built from direct visual/OCR inspection; no ASR-only assumptions.</x:v>
      </x:c>
    </x:row>
    <x:row r="7">
      <x:c r="A7" s="29" t="str">
        <x:v>KIS_M02</x:v>
      </x:c>
      <x:c r="B7" s="22" t="str">
        <x:v>Medium</x:v>
      </x:c>
      <x:c r="C7" s="22" t="str">
        <x:v>Tìm cảnh một người đàn ông mặc bộ đồ sọc xanh trắng ngồi trong phòng làm việc với cán bộ công an.</x:v>
      </x:c>
      <x:c r="D7" s="22" t="str">
        <x:v>Find a man wearing a green-and-white striped detention uniform seated in an interview room with a police officer.</x:v>
      </x:c>
      <x:c r="E7" s="22" t="str">
        <x:v>A detainee in a striped uniform sits across from a police officer in a plain room.</x:v>
      </x:c>
      <x:c r="F7" s="22" t="str">
        <x:v>lừa đảo trên 10 tỷ đồng | striped detainee | police interview</x:v>
      </x:c>
      <x:c r="G7" s="22" t="str">
        <x:v>E06_LUA_DAO</x:v>
      </x:c>
      <x:c r="H7" s="22" t="str">
        <x:v>L21_V001</x:v>
      </x:c>
      <x:c r="I7" s="22" t="n">
        <x:v>523</x:v>
      </x:c>
      <x:c r="J7" s="22" t="n">
        <x:v>559</x:v>
      </x:c>
      <x:c r="K7" s="22" t="n">
        <x:v>15690</x:v>
      </x:c>
      <x:c r="L7" s="22" t="n">
        <x:v>16770</x:v>
      </x:c>
      <x:c r="M7" s="22" t="n">
        <x:v>16200</x:v>
      </x:c>
      <x:c r="N7" s="22" t="str">
        <x:v>09:40–10:45 tattooed man in black clothing also appears with police</x:v>
      </x:c>
      <x:c r="O7" s="22" t="str">
        <x:v>visual, caption, OCR</x:v>
      </x:c>
      <x:c r="P7" s="22" t="str">
        <x:v>fine-grained clothing; suspect-confusion hard negative</x:v>
      </x:c>
      <x:c r="Q7" s="30" t="str">
        <x:v>GT built from direct visual/OCR inspection; no ASR-only assumptions.</x:v>
      </x:c>
    </x:row>
    <x:row r="8">
      <x:c r="A8" s="29" t="str">
        <x:v>KIS_M03</x:v>
      </x:c>
      <x:c r="B8" s="22" t="str">
        <x:v>Medium</x:v>
      </x:c>
      <x:c r="C8" s="22" t="str">
        <x:v>Tìm cảnh người đàn ông mặc áo đen có nhiều hình xăm ở cánh tay và sau gáy đang ngồi tại bàn làm việc.</x:v>
      </x:c>
      <x:c r="D8" s="22" t="str">
        <x:v>Find the man in a black shirt with extensive tattoos on his arms and the back of his neck, seated at a desk.</x:v>
      </x:c>
      <x:c r="E8" s="22" t="str">
        <x:v>A tattooed young man in black clothing sits indoors while the camera shows his arm and neck tattoos.</x:v>
      </x:c>
      <x:c r="F8" s="22" t="str">
        <x:v>hình xăm cánh tay cổ | tattooed man | áo đen</x:v>
      </x:c>
      <x:c r="G8" s="22" t="str">
        <x:v>E07_DOI_TUONG_XAM</x:v>
      </x:c>
      <x:c r="H8" s="22" t="str">
        <x:v>L21_V001</x:v>
      </x:c>
      <x:c r="I8" s="22" t="n">
        <x:v>590</x:v>
      </x:c>
      <x:c r="J8" s="22" t="n">
        <x:v>646</x:v>
      </x:c>
      <x:c r="K8" s="22" t="n">
        <x:v>17700</x:v>
      </x:c>
      <x:c r="L8" s="22" t="n">
        <x:v>19380</x:v>
      </x:c>
      <x:c r="M8" s="22" t="n">
        <x:v>18600</x:v>
      </x:c>
      <x:c r="N8" s="22" t="str">
        <x:v>08:45–09:20 striped detainee in another police report</x:v>
      </x:c>
      <x:c r="O8" s="22" t="str">
        <x:v>visual, region-caption, object-attribute</x:v>
      </x:c>
      <x:c r="P8" s="22" t="str">
        <x:v>attribute retrieval; body-region evidence; same-location hard negative</x:v>
      </x:c>
      <x:c r="Q8" s="30" t="str">
        <x:v>GT built from direct visual/OCR inspection; no ASR-only assumptions.</x:v>
      </x:c>
    </x:row>
    <x:row r="9">
      <x:c r="A9" s="29" t="str">
        <x:v>KIS_M04</x:v>
      </x:c>
      <x:c r="B9" s="22" t="str">
        <x:v>Medium</x:v>
      </x:c>
      <x:c r="C9" s="22" t="str">
        <x:v>Tìm cảnh lực lượng cứu hộ và máy móc tìm kiếm giữa khu dân cư phủ đầy bùn đất cạnh dòng nước đục sau một trận lở đất.</x:v>
      </x:c>
      <x:c r="D9" s="22" t="str">
        <x:v>Find rescuers and machinery searching through a mud-covered settlement beside muddy water after a landslide.</x:v>
      </x:c>
      <x:c r="E9" s="22" t="str">
        <x:v>Search teams and excavators work among damaged houses and muddy floodwater after a landslide.</x:v>
      </x:c>
      <x:c r="F9" s="22" t="str">
        <x:v>Ấn Độ lở đất | tìm kiếm nạn nhân | mudslide rescue</x:v>
      </x:c>
      <x:c r="G9" s="22" t="str">
        <x:v>E09_LO_DAT_AN_DO</x:v>
      </x:c>
      <x:c r="H9" s="22" t="str">
        <x:v>L21_V001</x:v>
      </x:c>
      <x:c r="I9" s="22" t="n">
        <x:v>841</x:v>
      </x:c>
      <x:c r="J9" s="22" t="n">
        <x:v>883</x:v>
      </x:c>
      <x:c r="K9" s="22" t="n">
        <x:v>25230</x:v>
      </x:c>
      <x:c r="L9" s="22" t="n">
        <x:v>26490</x:v>
      </x:c>
      <x:c r="M9" s="22" t="n">
        <x:v>25800</x:v>
      </x:c>
      <x:c r="N9" s="22" t="str">
        <x:v>01:00–02:45 riverbank erosion report also contains muddy water and damaged houses</x:v>
      </x:c>
      <x:c r="O9" s="22" t="str">
        <x:v>visual, caption, OCR</x:v>
      </x:c>
      <x:c r="P9" s="22" t="str">
        <x:v>cross-event disaster confusion; aerial/ground views</x:v>
      </x:c>
      <x:c r="Q9" s="30" t="str">
        <x:v>GT built from direct visual/OCR inspection; no ASR-only assumptions.</x:v>
      </x:c>
    </x:row>
    <x:row r="10">
      <x:c r="A10" s="29" t="str">
        <x:v>KIS_H01</x:v>
      </x:c>
      <x:c r="B10" s="22" t="str">
        <x:v>Hard</x:v>
      </x:c>
      <x:c r="C10" s="22" t="str">
        <x:v>Tìm phóng sự cháy rừng bắt đầu bằng sườn đồi đỏ rực trong đêm, tiếp đến xe cứu hỏa bật đèn xanh, rồi trực thăng mang túi nước bay qua vùng khói.</x:v>
      </x:c>
      <x:c r="D10" s="22" t="str">
        <x:v>Find the wildfire report that shows a burning hillside at night, then a fire engine with blue lights, and later a helicopter carrying a water bucket through smoke.</x:v>
      </x:c>
      <x:c r="E10" s="22" t="str">
        <x:v>A night wildfire response sequence with a burning hillside, blue-lit fire truck and water-bucket helicopter.</x:v>
      </x:c>
      <x:c r="F10" s="22" t="str">
        <x:v>cháy rừng châu Âu | xe cứu hỏa | trực thăng túi nước</x:v>
      </x:c>
      <x:c r="G10" s="22" t="str">
        <x:v>E10_CHAY_RUNG</x:v>
      </x:c>
      <x:c r="H10" s="22" t="str">
        <x:v>L21_V001</x:v>
      </x:c>
      <x:c r="I10" s="22" t="n">
        <x:v>891</x:v>
      </x:c>
      <x:c r="J10" s="22" t="n">
        <x:v>942</x:v>
      </x:c>
      <x:c r="K10" s="22" t="n">
        <x:v>26730</x:v>
      </x:c>
      <x:c r="L10" s="22" t="n">
        <x:v>28260</x:v>
      </x:c>
      <x:c r="M10" s="22" t="n">
        <x:v>28080</x:v>
      </x:c>
      <x:c r="N10" s="22" t="str">
        <x:v>00:17–00:24 opening headline contains the same wildfire footage but not the full ordered sequence</x:v>
      </x:c>
      <x:c r="O10" s="22" t="str">
        <x:v>visual, caption, temporal, OCR</x:v>
      </x:c>
      <x:c r="P10" s="22" t="str">
        <x:v>headline duplicate; ordered subevents; low light</x:v>
      </x:c>
      <x:c r="Q10" s="30" t="str">
        <x:v>GT built from direct visual/OCR inspection; no ASR-only assumptions.</x:v>
      </x:c>
    </x:row>
    <x:row r="11">
      <x:c r="A11" s="29" t="str">
        <x:v>KIS_H02</x:v>
      </x:c>
      <x:c r="B11" s="22" t="str">
        <x:v>Hard</x:v>
      </x:c>
      <x:c r="C11" s="22" t="str">
        <x:v>Tìm phóng sự về chương trình du lịch xanh ở Copenhagen: có thuyền màu xanh trên kênh, khách tham quan bằng thuyền, người đi xe đạp và không gian bảo tàng.</x:v>
      </x:c>
      <x:c r="D11" s="22" t="str">
        <x:v>Find the Copenhagen green-tourism report with green canal boats, sightseeing passengers, a cyclist and a museum interior.</x:v>
      </x:c>
      <x:c r="E11" s="22" t="str">
        <x:v>A Copenhagen sustainability program links canal travel, cycling and museum visits.</x:v>
      </x:c>
      <x:c r="F11" s="22" t="str">
        <x:v>CopenPay | Copenhagen | green tourism | bicycle museum canal</x:v>
      </x:c>
      <x:c r="G11" s="22" t="str">
        <x:v>E11_COPENPAY</x:v>
      </x:c>
      <x:c r="H11" s="22" t="str">
        <x:v>L21_V001</x:v>
      </x:c>
      <x:c r="I11" s="22" t="n">
        <x:v>962</x:v>
      </x:c>
      <x:c r="J11" s="22" t="n">
        <x:v>1019</x:v>
      </x:c>
      <x:c r="K11" s="22" t="n">
        <x:v>28860</x:v>
      </x:c>
      <x:c r="L11" s="22" t="n">
        <x:v>30570</x:v>
      </x:c>
      <x:c r="M11" s="22" t="n">
        <x:v>29460</x:v>
      </x:c>
      <x:c r="N11" s="22" t="str">
        <x:v>generic city/river footage elsewhere lacks the full activity sequence</x:v>
      </x:c>
      <x:c r="O11" s="22" t="str">
        <x:v>caption, temporal, OCR, visual</x:v>
      </x:c>
      <x:c r="P11" s="22" t="str">
        <x:v>abstract intent; diverse shots; cross-lingual named entity</x:v>
      </x:c>
      <x:c r="Q11" s="30" t="str">
        <x:v>GT built from direct visual/OCR inspection; no ASR-only assumptions.</x:v>
      </x:c>
    </x:row>
    <x:row r="12">
      <x:c r="A12" s="29" t="str">
        <x:v>KIS_H03</x:v>
      </x:c>
      <x:c r="B12" s="22" t="str">
        <x:v>Hard</x:v>
      </x:c>
      <x:c r="C12" s="22" t="str">
        <x:v>Tìm cảnh thợ lặn khảo sát đáy biển và quan sát một con cá mú lớn bơi giữa đàn cá; loại bỏ các cảnh ao nuôi cá và rùa biển.</x:v>
      </x:c>
      <x:c r="D12" s="22" t="str">
        <x:v>Find divers surveying the seabed while observing a large grouper among a school of fish; exclude fish farms and sea-turtle scenes.</x:v>
      </x:c>
      <x:c r="E12" s="22" t="str">
        <x:v>Divers observe a large brown grouper on a rocky seabed among many fish.</x:v>
      </x:c>
      <x:c r="F12" s="22" t="str">
        <x:v>cá mú nâu | divers | grouper conservation | NOT rùa biển</x:v>
      </x:c>
      <x:c r="G12" s="22" t="str">
        <x:v>E12_CA_MU_NAU</x:v>
      </x:c>
      <x:c r="H12" s="22" t="str">
        <x:v>L21_V001</x:v>
      </x:c>
      <x:c r="I12" s="22" t="n">
        <x:v>1032</x:v>
      </x:c>
      <x:c r="J12" s="22" t="n">
        <x:v>1094</x:v>
      </x:c>
      <x:c r="K12" s="22" t="n">
        <x:v>30960</x:v>
      </x:c>
      <x:c r="L12" s="22" t="n">
        <x:v>32820</x:v>
      </x:c>
      <x:c r="M12" s="22" t="n">
        <x:v>31920</x:v>
      </x:c>
      <x:c r="N12" s="22" t="str">
        <x:v>05:25–06:30 fish-farm report and 18:24–19:30 turtle-conservation report</x:v>
      </x:c>
      <x:c r="O12" s="22" t="str">
        <x:v>visual, caption, OCR, negative constraint</x:v>
      </x:c>
      <x:c r="P12" s="22" t="str">
        <x:v>fine-grained species; underwater hard negatives; exclusion handling</x:v>
      </x:c>
      <x:c r="Q12" s="30" t="str">
        <x:v>GT built from direct visual/OCR inspection; no ASR-only assumptions.</x:v>
      </x:c>
    </x:row>
    <x:row r="13">
      <x:c r="A13" s="33" t="str">
        <x:v>KIS_H04</x:v>
      </x:c>
      <x:c r="B13" s="34" t="str">
        <x:v>Hard</x:v>
      </x:c>
      <x:c r="C13" s="34" t="str">
        <x:v>Tìm phóng sự trong đó chó đánh hơi tìm kiếm trên bãi biển, tiếp theo xuất hiện trung tâm cứu hộ và cuối cùng một con rùa biển được thả xuống nước từ thuyền.</x:v>
      </x:c>
      <x:c r="D13" s="34" t="str">
        <x:v>Find the report where sniffer dogs search a beach, followed by a rescue center, and finally a sea turtle is released from a boat.</x:v>
      </x:c>
      <x:c r="E13" s="34" t="str">
        <x:v>A turtle-conservation sequence with beach sniffer dogs, a rescue center and a boat release.</x:v>
      </x:c>
      <x:c r="F13" s="34" t="str">
        <x:v>chó đánh hơi | tổ trứng rùa biển | rescue center | turtle release</x:v>
      </x:c>
      <x:c r="G13" s="34" t="str">
        <x:v>E13_CHO_RUA</x:v>
      </x:c>
      <x:c r="H13" s="34" t="str">
        <x:v>L21_V001</x:v>
      </x:c>
      <x:c r="I13" s="34" t="n">
        <x:v>1108</x:v>
      </x:c>
      <x:c r="J13" s="34" t="n">
        <x:v>1169.5</x:v>
      </x:c>
      <x:c r="K13" s="34" t="n">
        <x:v>33240</x:v>
      </x:c>
      <x:c r="L13" s="34" t="n">
        <x:v>35085</x:v>
      </x:c>
      <x:c r="M13" s="34" t="n">
        <x:v>35040</x:v>
      </x:c>
      <x:c r="N13" s="34" t="str">
        <x:v>17:05–18:20 underwater grouper report shares marine imagery but has no dogs or turtle release</x:v>
      </x:c>
      <x:c r="O13" s="34" t="str">
        <x:v>temporal, caption, visual, OCR</x:v>
      </x:c>
      <x:c r="P13" s="34" t="str">
        <x:v>multi-stage sequence; marine hard negative; object transition</x:v>
      </x:c>
      <x:c r="Q13" s="35" t="str">
        <x:v>GT built from direct visual/OCR inspection; no ASR-only assumptions.</x:v>
      </x:c>
    </x:row>
  </x:sheetData>
  <x:conditionalFormatting sqref="B2:B13">
    <x:cfRule type="expression" dxfId="0" priority="1">
      <x:formula>B2="Easy"</x:formula>
    </x:cfRule>
    <x:cfRule type="expression" dxfId="1" priority="2">
      <x:formula>B2="Medium"</x:formula>
    </x:cfRule>
    <x:cfRule type="expression" dxfId="2" priority="3">
      <x:formula>B2="Hard"</x:formula>
    </x:cfRule>
  </x:conditionalFormatting>
  <x:pageMargins left="0.7" right="0.7" top="0.75" bottom="0.75" header="0.3" footer="0.3"/>
  <x:tableParts count="1">
    <x:tablePart xmlns:r="http://schemas.openxmlformats.org/officeDocument/2006/relationships" r:id="R8ee1b1683dd645a9"/>
  </x:tableParts>
</x:worksheet>
</file>

<file path=xl/worksheets/sheet5.xml><?xml version="1.0" encoding="utf-8"?>
<x:worksheet xmlns:x="http://schemas.openxmlformats.org/spreadsheetml/2006/main">
  <x:sheetFormatPr defaultRowHeight="15"/>
  <x:cols>
    <x:col min="1" max="1" width="14" hidden="0" customWidth="1"/>
    <x:col min="2" max="2" width="11" hidden="0" customWidth="1"/>
    <x:col min="3" max="3" width="34" hidden="0" customWidth="1"/>
    <x:col min="4" max="4" width="48" hidden="0" customWidth="1"/>
    <x:col min="5" max="5" width="48" hidden="0" customWidth="1"/>
    <x:col min="6" max="6" width="22" hidden="0" customWidth="1"/>
    <x:col min="7" max="7" width="42" hidden="0" customWidth="1"/>
    <x:col min="8" max="8" width="18" hidden="0" customWidth="1"/>
    <x:col min="9" max="9" width="14" hidden="0" customWidth="1"/>
    <x:col min="10" max="10" width="11" hidden="0" customWidth="1"/>
    <x:col min="11" max="11" width="11" hidden="0" customWidth="1"/>
    <x:col min="12" max="12" width="13" hidden="0" customWidth="1"/>
    <x:col min="13" max="13" width="13" hidden="0" customWidth="1"/>
    <x:col min="14" max="14" width="18" hidden="0" customWidth="1"/>
    <x:col min="15" max="15" width="28" hidden="0" customWidth="1"/>
    <x:col min="16" max="16" width="28" hidden="0" customWidth="1"/>
    <x:col min="17" max="17" width="42" hidden="0" customWidth="1"/>
    <x:col min="18" max="18" width="40" hidden="0" customWidth="1"/>
  </x:cols>
  <x:sheetData>
    <x:row r="1">
      <x:c r="A1" s="57" t="str">
        <x:v>query_id</x:v>
      </x:c>
      <x:c r="B1" s="58" t="str">
        <x:v>difficulty</x:v>
      </x:c>
      <x:c r="C1" s="58" t="str">
        <x:v>event_description_vi</x:v>
      </x:c>
      <x:c r="D1" s="58" t="str">
        <x:v>question_vi</x:v>
      </x:c>
      <x:c r="E1" s="58" t="str">
        <x:v>question_en</x:v>
      </x:c>
      <x:c r="F1" s="58" t="str">
        <x:v>answer_canonical</x:v>
      </x:c>
      <x:c r="G1" s="58" t="str">
        <x:v>accepted_answers</x:v>
      </x:c>
      <x:c r="H1" s="58" t="str">
        <x:v>event_id</x:v>
      </x:c>
      <x:c r="I1" s="58" t="str">
        <x:v>target_video</x:v>
      </x:c>
      <x:c r="J1" s="58" t="str">
        <x:v>start_sec</x:v>
      </x:c>
      <x:c r="K1" s="58" t="str">
        <x:v>end_sec</x:v>
      </x:c>
      <x:c r="L1" s="58" t="str">
        <x:v>start_frame</x:v>
      </x:c>
      <x:c r="M1" s="58" t="str">
        <x:v>end_frame</x:v>
      </x:c>
      <x:c r="N1" s="58" t="str">
        <x:v>representative_frame</x:v>
      </x:c>
      <x:c r="O1" s="58" t="str">
        <x:v>reasoning_type</x:v>
      </x:c>
      <x:c r="P1" s="58" t="str">
        <x:v>required_modalities</x:v>
      </x:c>
      <x:c r="Q1" s="58" t="str">
        <x:v>hard_negative</x:v>
      </x:c>
      <x:c r="R1" s="59" t="str">
        <x:v>quality_note</x:v>
      </x:c>
    </x:row>
    <x:row r="2">
      <x:c r="A2" s="26" t="str">
        <x:v>VQA_E01</x:v>
      </x:c>
      <x:c r="B2" s="27" t="str">
        <x:v>Easy</x:v>
      </x:c>
      <x:c r="C2" s="27" t="str">
        <x:v>Bản tin về sạt lở bờ sông tại Cần Thơ.</x:v>
      </x:c>
      <x:c r="D2" s="27" t="str">
        <x:v>Theo tiêu đề bản tin, thiệt hại do sạt lở bờ sông là hơn bao nhiêu tiền?</x:v>
      </x:c>
      <x:c r="E2" s="27" t="str">
        <x:v>According to the headline, how much damage was caused by the riverbank erosion?</x:v>
      </x:c>
      <x:c r="F2" s="27" t="str">
        <x:v>Hơn 14,5 tỷ đồng</x:v>
      </x:c>
      <x:c r="G2" s="27" t="str">
        <x:v>14,5 tỷ đồng | hơn 14,5 tỷ đồng | 14.5 billion VND | over 14.5 billion VND</x:v>
      </x:c>
      <x:c r="H2" s="27" t="str">
        <x:v>E01_SATLO</x:v>
      </x:c>
      <x:c r="I2" s="27" t="str">
        <x:v>L21_V001</x:v>
      </x:c>
      <x:c r="J2" s="27" t="n">
        <x:v>126</x:v>
      </x:c>
      <x:c r="K2" s="27" t="n">
        <x:v>139</x:v>
      </x:c>
      <x:c r="L2" s="27" t="n">
        <x:v>3780</x:v>
      </x:c>
      <x:c r="M2" s="27" t="n">
        <x:v>4170</x:v>
      </x:c>
      <x:c r="N2" s="27" t="n">
        <x:v>3900</x:v>
      </x:c>
      <x:c r="O2" s="27" t="str">
        <x:v>OCR numeric lookup</x:v>
      </x:c>
      <x:c r="P2" s="27" t="str">
        <x:v>OCR, caption</x:v>
      </x:c>
      <x:c r="Q2" s="27" t="str">
        <x:v>ignore unrelated numbers in scrolling ticker</x:v>
      </x:c>
      <x:c r="R2" s="28" t="str">
        <x:v>Answer grounded in visible scene and/or readable lower-third OCR; ASR not used.</x:v>
      </x:c>
    </x:row>
    <x:row r="3">
      <x:c r="A3" s="29" t="str">
        <x:v>VQA_E02</x:v>
      </x:c>
      <x:c r="B3" s="22" t="str">
        <x:v>Easy</x:v>
      </x:c>
      <x:c r="C3" s="22" t="str">
        <x:v>Hiện trường nhiều xe máy hư hỏng trên đường vào ban đêm.</x:v>
      </x:c>
      <x:c r="D3" s="22" t="str">
        <x:v>Có bao nhiêu xe máy tham gia vụ va chạm liên hoàn?</x:v>
      </x:c>
      <x:c r="E3" s="22" t="str">
        <x:v>How many motorcycles were involved in the chain collision?</x:v>
      </x:c>
      <x:c r="F3" s="22" t="str">
        <x:v>5</x:v>
      </x:c>
      <x:c r="G3" s="22" t="str">
        <x:v>5 | năm | five</x:v>
      </x:c>
      <x:c r="H3" s="22" t="str">
        <x:v>E08_5_XE_MAY</x:v>
      </x:c>
      <x:c r="I3" s="22" t="str">
        <x:v>L21_V001</x:v>
      </x:c>
      <x:c r="J3" s="22" t="n">
        <x:v>655</x:v>
      </x:c>
      <x:c r="K3" s="22" t="n">
        <x:v>690</x:v>
      </x:c>
      <x:c r="L3" s="22" t="n">
        <x:v>19650</x:v>
      </x:c>
      <x:c r="M3" s="22" t="n">
        <x:v>20700</x:v>
      </x:c>
      <x:c r="N3" s="22" t="n">
        <x:v>19800</x:v>
      </x:c>
      <x:c r="O3" s="22" t="str">
        <x:v>OCR numeric lookup</x:v>
      </x:c>
      <x:c r="P3" s="22" t="str">
        <x:v>OCR, visual</x:v>
      </x:c>
      <x:c r="Q3" s="22" t="str">
        <x:v>do not count visible motorcycles manually if the headline is available</x:v>
      </x:c>
      <x:c r="R3" s="30" t="str">
        <x:v>Answer grounded in visible scene and/or readable lower-third OCR; ASR not used.</x:v>
      </x:c>
    </x:row>
    <x:row r="4">
      <x:c r="A4" s="29" t="str">
        <x:v>VQA_E03</x:v>
      </x:c>
      <x:c r="B4" s="22" t="str">
        <x:v>Easy</x:v>
      </x:c>
      <x:c r="C4" s="22" t="str">
        <x:v>Nhóm cán bộ khảo sát hiện trường sạt lở.</x:v>
      </x:c>
      <x:c r="D4" s="22" t="str">
        <x:v>Nhóm cán bộ đang cùng xem loại tài liệu gì?</x:v>
      </x:c>
      <x:c r="E4" s="22" t="str">
        <x:v>What type of document are the officials examining together?</x:v>
      </x:c>
      <x:c r="F4" s="22" t="str">
        <x:v>Bản vẽ kỹ thuật</x:v>
      </x:c>
      <x:c r="G4" s="22" t="str">
        <x:v>bản vẽ kỹ thuật | sơ đồ kỹ thuật | bản đồ thiết kế | engineering plan | technical drawing</x:v>
      </x:c>
      <x:c r="H4" s="22" t="str">
        <x:v>E01_SATLO</x:v>
      </x:c>
      <x:c r="I4" s="22" t="str">
        <x:v>L21_V001</x:v>
      </x:c>
      <x:c r="J4" s="22" t="n">
        <x:v>128</x:v>
      </x:c>
      <x:c r="K4" s="22" t="n">
        <x:v>138</x:v>
      </x:c>
      <x:c r="L4" s="22" t="n">
        <x:v>3840</x:v>
      </x:c>
      <x:c r="M4" s="22" t="n">
        <x:v>4140</x:v>
      </x:c>
      <x:c r="N4" s="22" t="n">
        <x:v>4050</x:v>
      </x:c>
      <x:c r="O4" s="22" t="str">
        <x:v>visual object/scene understanding</x:v>
      </x:c>
      <x:c r="P4" s="22" t="str">
        <x:v>visual, region-caption</x:v>
      </x:c>
      <x:c r="Q4" s="22" t="str">
        <x:v>meeting-room papers are not the large field plan</x:v>
      </x:c>
      <x:c r="R4" s="30" t="str">
        <x:v>Answer grounded in visible scene and/or readable lower-third OCR; ASR not used.</x:v>
      </x:c>
    </x:row>
    <x:row r="5">
      <x:c r="A5" s="29" t="str">
        <x:v>VQA_E04</x:v>
      </x:c>
      <x:c r="B5" s="22" t="str">
        <x:v>Easy</x:v>
      </x:c>
      <x:c r="C5" s="22" t="str">
        <x:v>Đội y tế vận chuyển bộ phận hiến tặng rồi thực hiện phẫu thuật.</x:v>
      </x:c>
      <x:c r="D5" s="22" t="str">
        <x:v>Bộ phận nào được vận chuyển từ Hà Nội về Huế để ghép cho bệnh nhân?</x:v>
      </x:c>
      <x:c r="E5" s="22" t="str">
        <x:v>Which organ was transported from Hanoi to Hue for transplantation?</x:v>
      </x:c>
      <x:c r="F5" s="22" t="str">
        <x:v>Trái tim</x:v>
      </x:c>
      <x:c r="G5" s="22" t="str">
        <x:v>trái tim | tim | heart</x:v>
      </x:c>
      <x:c r="H5" s="22" t="str">
        <x:v>E03_GHEP_TIM</x:v>
      </x:c>
      <x:c r="I5" s="22" t="str">
        <x:v>L21_V001</x:v>
      </x:c>
      <x:c r="J5" s="22" t="n">
        <x:v>265</x:v>
      </x:c>
      <x:c r="K5" s="22" t="n">
        <x:v>305</x:v>
      </x:c>
      <x:c r="L5" s="22" t="n">
        <x:v>7950</x:v>
      </x:c>
      <x:c r="M5" s="22" t="n">
        <x:v>9150</x:v>
      </x:c>
      <x:c r="N5" s="22" t="n">
        <x:v>8070</x:v>
      </x:c>
      <x:c r="O5" s="22" t="str">
        <x:v>OCR/title + event grounding</x:v>
      </x:c>
      <x:c r="P5" s="22" t="str">
        <x:v>OCR, caption, visual</x:v>
      </x:c>
      <x:c r="Q5" s="22" t="str">
        <x:v>surgery imagery alone does not identify the organ</x:v>
      </x:c>
      <x:c r="R5" s="30" t="str">
        <x:v>Answer grounded in visible scene and/or readable lower-third OCR; ASR not used.</x:v>
      </x:c>
    </x:row>
    <x:row r="6">
      <x:c r="A6" s="29" t="str">
        <x:v>VQA_M01</x:v>
      </x:c>
      <x:c r="B6" s="22" t="str">
        <x:v>Medium</x:v>
      </x:c>
      <x:c r="C6" s="22" t="str">
        <x:v>Một cột nước bất ngờ phun lên từ giếng.</x:v>
      </x:c>
      <x:c r="D6" s="22" t="str">
        <x:v>Trước khi phun nước, chiếc giếng được mô tả đang ở trạng thái nào?</x:v>
      </x:c>
      <x:c r="E6" s="22" t="str">
        <x:v>How was the well described before it suddenly began spraying water?</x:v>
      </x:c>
      <x:c r="F6" s="22" t="str">
        <x:v>Cạn khô</x:v>
      </x:c>
      <x:c r="G6" s="22" t="str">
        <x:v>cạn khô | đã cạn khô | dry | dried up</x:v>
      </x:c>
      <x:c r="H6" s="22" t="str">
        <x:v>E02_GIENG_NUOC</x:v>
      </x:c>
      <x:c r="I6" s="22" t="str">
        <x:v>L21_V001</x:v>
      </x:c>
      <x:c r="J6" s="22" t="n">
        <x:v>189</x:v>
      </x:c>
      <x:c r="K6" s="22" t="n">
        <x:v>215</x:v>
      </x:c>
      <x:c r="L6" s="22" t="n">
        <x:v>5670</x:v>
      </x:c>
      <x:c r="M6" s="22" t="n">
        <x:v>6450</x:v>
      </x:c>
      <x:c r="N6" s="22" t="n">
        <x:v>5760</x:v>
      </x:c>
      <x:c r="O6" s="22" t="str">
        <x:v>OCR semantic lookup</x:v>
      </x:c>
      <x:c r="P6" s="22" t="str">
        <x:v>OCR, caption</x:v>
      </x:c>
      <x:c r="Q6" s="22" t="str">
        <x:v>visual evidence shows water but not the prior state</x:v>
      </x:c>
      <x:c r="R6" s="30" t="str">
        <x:v>Answer grounded in visible scene and/or readable lower-third OCR; ASR not used.</x:v>
      </x:c>
    </x:row>
    <x:row r="7">
      <x:c r="A7" s="29" t="str">
        <x:v>VQA_M02</x:v>
      </x:c>
      <x:c r="B7" s="22" t="str">
        <x:v>Medium</x:v>
      </x:c>
      <x:c r="C7" s="22" t="str">
        <x:v>Người đàn ông mặc đồ sọc làm việc với công an.</x:v>
      </x:c>
      <x:c r="D7" s="22" t="str">
        <x:v>Theo tiêu đề, đối tượng bị bắt vì lừa đảo chiếm đoạt trên bao nhiêu tiền?</x:v>
      </x:c>
      <x:c r="E7" s="22" t="str">
        <x:v>According to the headline, the suspect was arrested for fraud involving more than how much money?</x:v>
      </x:c>
      <x:c r="F7" s="22" t="str">
        <x:v>Trên 10 tỷ đồng</x:v>
      </x:c>
      <x:c r="G7" s="22" t="str">
        <x:v>10 tỷ đồng | trên 10 tỷ đồng | over 10 billion VND | 10 billion VND</x:v>
      </x:c>
      <x:c r="H7" s="22" t="str">
        <x:v>E06_LUA_DAO</x:v>
      </x:c>
      <x:c r="I7" s="22" t="str">
        <x:v>L21_V001</x:v>
      </x:c>
      <x:c r="J7" s="22" t="n">
        <x:v>506</x:v>
      </x:c>
      <x:c r="K7" s="22" t="n">
        <x:v>535</x:v>
      </x:c>
      <x:c r="L7" s="22" t="n">
        <x:v>15180</x:v>
      </x:c>
      <x:c r="M7" s="22" t="n">
        <x:v>16050</x:v>
      </x:c>
      <x:c r="N7" s="22" t="n">
        <x:v>15300</x:v>
      </x:c>
      <x:c r="O7" s="22" t="str">
        <x:v>OCR numeric lookup</x:v>
      </x:c>
      <x:c r="P7" s="22" t="str">
        <x:v>OCR</x:v>
      </x:c>
      <x:c r="Q7" s="22" t="str">
        <x:v>ignore ticker numbers and prison-uniform visual bias</x:v>
      </x:c>
      <x:c r="R7" s="30" t="str">
        <x:v>Answer grounded in visible scene and/or readable lower-third OCR; ASR not used.</x:v>
      </x:c>
    </x:row>
    <x:row r="8">
      <x:c r="A8" s="29" t="str">
        <x:v>VQA_M03</x:v>
      </x:c>
      <x:c r="B8" s="22" t="str">
        <x:v>Medium</x:v>
      </x:c>
      <x:c r="C8" s="22" t="str">
        <x:v>Lực lượng chữa cháy ứng phó với cháy rừng.</x:v>
      </x:c>
      <x:c r="D8" s="22" t="str">
        <x:v>Phương tiện nào bay trên không và mang túi nước để hỗ trợ dập lửa?</x:v>
      </x:c>
      <x:c r="E8" s="22" t="str">
        <x:v>Which vehicle flies overhead carrying a water bucket to help fight the fire?</x:v>
      </x:c>
      <x:c r="F8" s="22" t="str">
        <x:v>Trực thăng</x:v>
      </x:c>
      <x:c r="G8" s="22" t="str">
        <x:v>trực thăng | máy bay trực thăng | helicopter</x:v>
      </x:c>
      <x:c r="H8" s="22" t="str">
        <x:v>E10_CHAY_RUNG</x:v>
      </x:c>
      <x:c r="I8" s="22" t="str">
        <x:v>L21_V001</x:v>
      </x:c>
      <x:c r="J8" s="22" t="n">
        <x:v>929</x:v>
      </x:c>
      <x:c r="K8" s="22" t="n">
        <x:v>940</x:v>
      </x:c>
      <x:c r="L8" s="22" t="n">
        <x:v>27870</x:v>
      </x:c>
      <x:c r="M8" s="22" t="n">
        <x:v>28200</x:v>
      </x:c>
      <x:c r="N8" s="22" t="n">
        <x:v>28080</x:v>
      </x:c>
      <x:c r="O8" s="22" t="str">
        <x:v>visual object-action lookup</x:v>
      </x:c>
      <x:c r="P8" s="22" t="str">
        <x:v>visual, object</x:v>
      </x:c>
      <x:c r="Q8" s="22" t="str">
        <x:v>fire engines remain on the ground</x:v>
      </x:c>
      <x:c r="R8" s="30" t="str">
        <x:v>Answer grounded in visible scene and/or readable lower-third OCR; ASR not used.</x:v>
      </x:c>
    </x:row>
    <x:row r="9">
      <x:c r="A9" s="29" t="str">
        <x:v>VQA_M04</x:v>
      </x:c>
      <x:c r="B9" s="22" t="str">
        <x:v>Medium</x:v>
      </x:c>
      <x:c r="C9" s="22" t="str">
        <x:v>Phóng sự bảo tồn dưới biển tại Pháp.</x:v>
      </x:c>
      <x:c r="D9" s="22" t="str">
        <x:v>Loài cá nào được nói là hồi sinh nhờ các nỗ lực bảo tồn?</x:v>
      </x:c>
      <x:c r="E9" s="22" t="str">
        <x:v>Which fish species was reported to be recovering thanks to conservation efforts?</x:v>
      </x:c>
      <x:c r="F9" s="22" t="str">
        <x:v>Cá mú nâu</x:v>
      </x:c>
      <x:c r="G9" s="22" t="str">
        <x:v>cá mú nâu | cá mú | brown grouper | grouper</x:v>
      </x:c>
      <x:c r="H9" s="22" t="str">
        <x:v>E12_CA_MU_NAU</x:v>
      </x:c>
      <x:c r="I9" s="22" t="str">
        <x:v>L21_V001</x:v>
      </x:c>
      <x:c r="J9" s="22" t="n">
        <x:v>1028</x:v>
      </x:c>
      <x:c r="K9" s="22" t="n">
        <x:v>1040</x:v>
      </x:c>
      <x:c r="L9" s="22" t="n">
        <x:v>30840</x:v>
      </x:c>
      <x:c r="M9" s="22" t="n">
        <x:v>31200</x:v>
      </x:c>
      <x:c r="N9" s="22" t="n">
        <x:v>31080</x:v>
      </x:c>
      <x:c r="O9" s="22" t="str">
        <x:v>OCR/title + species grounding</x:v>
      </x:c>
      <x:c r="P9" s="22" t="str">
        <x:v>OCR, visual, caption</x:v>
      </x:c>
      <x:c r="Q9" s="22" t="str">
        <x:v>fish-farm report contains fish but not the protected species</x:v>
      </x:c>
      <x:c r="R9" s="30" t="str">
        <x:v>Answer grounded in visible scene and/or readable lower-third OCR; ASR not used.</x:v>
      </x:c>
    </x:row>
    <x:row r="10">
      <x:c r="A10" s="29" t="str">
        <x:v>VQA_H01</x:v>
      </x:c>
      <x:c r="B10" s="22" t="str">
        <x:v>Hard</x:v>
      </x:c>
      <x:c r="C10" s="22" t="str">
        <x:v>Phóng sự về CopenPay tại Copenhagen.</x:v>
      </x:c>
      <x:c r="D10" s="22" t="str">
        <x:v>Người đàn ông đội mũ bảo hiểm trong phóng sự đang sử dụng phương tiện gì?</x:v>
      </x:c>
      <x:c r="E10" s="22" t="str">
        <x:v>What mode of transport is the helmeted man using in the CopenPay report?</x:v>
      </x:c>
      <x:c r="F10" s="22" t="str">
        <x:v>Xe đạp</x:v>
      </x:c>
      <x:c r="G10" s="22" t="str">
        <x:v>xe đạp | đạp xe | bicycle | bike</x:v>
      </x:c>
      <x:c r="H10" s="22" t="str">
        <x:v>E11_COPENPAY</x:v>
      </x:c>
      <x:c r="I10" s="22" t="str">
        <x:v>L21_V001</x:v>
      </x:c>
      <x:c r="J10" s="22" t="n">
        <x:v>978</x:v>
      </x:c>
      <x:c r="K10" s="22" t="n">
        <x:v>988</x:v>
      </x:c>
      <x:c r="L10" s="22" t="n">
        <x:v>29340</x:v>
      </x:c>
      <x:c r="M10" s="22" t="n">
        <x:v>29640</x:v>
      </x:c>
      <x:c r="N10" s="22" t="n">
        <x:v>29460</x:v>
      </x:c>
      <x:c r="O10" s="22" t="str">
        <x:v>fine-grained visual action</x:v>
      </x:c>
      <x:c r="P10" s="22" t="str">
        <x:v>visual, caption</x:v>
      </x:c>
      <x:c r="Q10" s="22" t="str">
        <x:v>boats appear earlier in the same report</x:v>
      </x:c>
      <x:c r="R10" s="30" t="str">
        <x:v>Answer grounded in visible scene and/or readable lower-third OCR; ASR not used.</x:v>
      </x:c>
    </x:row>
    <x:row r="11">
      <x:c r="A11" s="29" t="str">
        <x:v>VQA_H02</x:v>
      </x:c>
      <x:c r="B11" s="22" t="str">
        <x:v>Hard</x:v>
      </x:c>
      <x:c r="C11" s="22" t="str">
        <x:v>Chó đánh hơi làm việc trên bãi biển ở Italia.</x:v>
      </x:c>
      <x:c r="D11" s="22" t="str">
        <x:v>Những con chó được sử dụng để tìm kiếm thứ gì trên bãi biển?</x:v>
      </x:c>
      <x:c r="E11" s="22" t="str">
        <x:v>What are the dogs used to locate on the beach?</x:v>
      </x:c>
      <x:c r="F11" s="22" t="str">
        <x:v>Tổ trứng rùa biển</x:v>
      </x:c>
      <x:c r="G11" s="22" t="str">
        <x:v>tổ trứng rùa biển | tổ rùa biển | trứng rùa biển | sea turtle nests | sea turtle eggs</x:v>
      </x:c>
      <x:c r="H11" s="22" t="str">
        <x:v>E13_CHO_RUA</x:v>
      </x:c>
      <x:c r="I11" s="22" t="str">
        <x:v>L21_V001</x:v>
      </x:c>
      <x:c r="J11" s="22" t="n">
        <x:v>1108</x:v>
      </x:c>
      <x:c r="K11" s="22" t="n">
        <x:v>1138</x:v>
      </x:c>
      <x:c r="L11" s="22" t="n">
        <x:v>33240</x:v>
      </x:c>
      <x:c r="M11" s="22" t="n">
        <x:v>34140</x:v>
      </x:c>
      <x:c r="N11" s="22" t="n">
        <x:v>33480</x:v>
      </x:c>
      <x:c r="O11" s="22" t="str">
        <x:v>OCR/title + purpose inference</x:v>
      </x:c>
      <x:c r="P11" s="22" t="str">
        <x:v>OCR, visual, caption</x:v>
      </x:c>
      <x:c r="Q11" s="22" t="str">
        <x:v>the dogs themselves do not reveal the target without text/context</x:v>
      </x:c>
      <x:c r="R11" s="30" t="str">
        <x:v>Answer grounded in visible scene and/or readable lower-third OCR; ASR not used.</x:v>
      </x:c>
    </x:row>
    <x:row r="12">
      <x:c r="A12" s="29" t="str">
        <x:v>VQA_H03</x:v>
      </x:c>
      <x:c r="B12" s="22" t="str">
        <x:v>Hard</x:v>
      </x:c>
      <x:c r="C12" s="22" t="str">
        <x:v>Sau cảnh chó tìm kiếm và trung tâm cứu hộ, một con vật được đưa trở lại biển.</x:v>
      </x:c>
      <x:c r="D12" s="22" t="str">
        <x:v>Con vật nào được thả trở lại biển ở cuối phóng sự?</x:v>
      </x:c>
      <x:c r="E12" s="22" t="str">
        <x:v>Which animal is released back into the sea at the end of the report?</x:v>
      </x:c>
      <x:c r="F12" s="22" t="str">
        <x:v>Rùa biển</x:v>
      </x:c>
      <x:c r="G12" s="22" t="str">
        <x:v>rùa biển | rùa | sea turtle | turtle</x:v>
      </x:c>
      <x:c r="H12" s="22" t="str">
        <x:v>E13_CHO_RUA</x:v>
      </x:c>
      <x:c r="I12" s="22" t="str">
        <x:v>L21_V001</x:v>
      </x:c>
      <x:c r="J12" s="22" t="n">
        <x:v>1158</x:v>
      </x:c>
      <x:c r="K12" s="22" t="n">
        <x:v>1169.5</x:v>
      </x:c>
      <x:c r="L12" s="22" t="n">
        <x:v>34740</x:v>
      </x:c>
      <x:c r="M12" s="22" t="n">
        <x:v>35085</x:v>
      </x:c>
      <x:c r="N12" s="22" t="n">
        <x:v>35040</x:v>
      </x:c>
      <x:c r="O12" s="22" t="str">
        <x:v>temporal evidence + visual identification</x:v>
      </x:c>
      <x:c r="P12" s="22" t="str">
        <x:v>temporal, visual, caption</x:v>
      </x:c>
      <x:c r="Q12" s="22" t="str">
        <x:v>grouper and other marine animals appear in the previous report</x:v>
      </x:c>
      <x:c r="R12" s="30" t="str">
        <x:v>Answer grounded in visible scene and/or readable lower-third OCR; ASR not used.</x:v>
      </x:c>
    </x:row>
    <x:row r="13">
      <x:c r="A13" s="33" t="str">
        <x:v>VQA_H04</x:v>
      </x:c>
      <x:c r="B13" s="34" t="str">
        <x:v>Hard</x:v>
      </x:c>
      <x:c r="C13" s="34" t="str">
        <x:v>Bản tin cuối video về vụ tai nạn giao thông ban đêm.</x:v>
      </x:c>
      <x:c r="D13" s="34" t="str">
        <x:v>Phương tiện lớn nào liên quan đến vụ va chạm khiến người điều khiển xe máy tử vong?</x:v>
      </x:c>
      <x:c r="E13" s="34" t="str">
        <x:v>Which large vehicle was involved in the collision that killed the motorcyclist?</x:v>
      </x:c>
      <x:c r="F13" s="34" t="str">
        <x:v>Xe tải</x:v>
      </x:c>
      <x:c r="G13" s="34" t="str">
        <x:v>xe tải | truck | lorry</x:v>
      </x:c>
      <x:c r="H13" s="34" t="str">
        <x:v>E15_XE_TAI</x:v>
      </x:c>
      <x:c r="I13" s="34" t="str">
        <x:v>L21_V001</x:v>
      </x:c>
      <x:c r="J13" s="34" t="n">
        <x:v>1208</x:v>
      </x:c>
      <x:c r="K13" s="34" t="n">
        <x:v>1240</x:v>
      </x:c>
      <x:c r="L13" s="34" t="n">
        <x:v>36240</x:v>
      </x:c>
      <x:c r="M13" s="34" t="n">
        <x:v>37200</x:v>
      </x:c>
      <x:c r="N13" s="34" t="n">
        <x:v>36840</x:v>
      </x:c>
      <x:c r="O13" s="34" t="str">
        <x:v>OCR/title + visual grounding</x:v>
      </x:c>
      <x:c r="P13" s="34" t="str">
        <x:v>OCR, visual</x:v>
      </x:c>
      <x:c r="Q13" s="34" t="str">
        <x:v>five-motorcycle collision appears earlier and has no truck</x:v>
      </x:c>
      <x:c r="R13" s="35" t="str">
        <x:v>Answer grounded in visible scene and/or readable lower-third OCR; ASR not used.</x:v>
      </x:c>
    </x:row>
  </x:sheetData>
  <x:conditionalFormatting sqref="B2:B13">
    <x:cfRule type="expression" dxfId="3" priority="1">
      <x:formula>B2="Easy"</x:formula>
    </x:cfRule>
    <x:cfRule type="expression" dxfId="4" priority="2">
      <x:formula>B2="Medium"</x:formula>
    </x:cfRule>
    <x:cfRule type="expression" dxfId="5" priority="3">
      <x:formula>B2="Hard"</x:formula>
    </x:cfRule>
  </x:conditionalFormatting>
  <x:pageMargins left="0.7" right="0.7" top="0.75" bottom="0.75" header="0.3" footer="0.3"/>
  <x:tableParts count="1">
    <x:tablePart xmlns:r="http://schemas.openxmlformats.org/officeDocument/2006/relationships" r:id="R3fe366b45c0b4664"/>
  </x:tableParts>
</x:worksheet>
</file>

<file path=xl/worksheets/sheet6.xml><?xml version="1.0" encoding="utf-8"?>
<x:worksheet xmlns:x="http://schemas.openxmlformats.org/spreadsheetml/2006/main">
  <x:sheetFormatPr defaultRowHeight="15"/>
  <x:cols>
    <x:col min="1" max="1" width="14" hidden="0" customWidth="1"/>
    <x:col min="2" max="2" width="11" hidden="0" customWidth="1"/>
    <x:col min="3" max="3" width="52" hidden="0" customWidth="1"/>
    <x:col min="4" max="4" width="52" hidden="0" customWidth="1"/>
    <x:col min="5" max="5" width="46" hidden="0" customWidth="1"/>
    <x:col min="6" max="6" width="14" hidden="0" customWidth="1"/>
    <x:col min="7" max="7" width="30" hidden="0" customWidth="1"/>
    <x:col min="8" max="8" width="42" hidden="0" customWidth="1"/>
    <x:col min="9" max="9" width="42" hidden="0" customWidth="1"/>
    <x:col min="10" max="10" width="38" hidden="0" customWidth="1"/>
  </x:cols>
  <x:sheetData>
    <x:row r="1">
      <x:c r="A1" s="57" t="str">
        <x:v>query_id</x:v>
      </x:c>
      <x:c r="B1" s="58" t="str">
        <x:v>difficulty</x:v>
      </x:c>
      <x:c r="C1" s="58" t="str">
        <x:v>query_vi</x:v>
      </x:c>
      <x:c r="D1" s="58" t="str">
        <x:v>query_en</x:v>
      </x:c>
      <x:c r="E1" s="58" t="str">
        <x:v>criteria</x:v>
      </x:c>
      <x:c r="F1" s="58" t="str">
        <x:v>target_video</x:v>
      </x:c>
      <x:c r="G1" s="58" t="str">
        <x:v>required_modalities</x:v>
      </x:c>
      <x:c r="H1" s="58" t="str">
        <x:v>diagnostic_tags</x:v>
      </x:c>
      <x:c r="I1" s="58" t="str">
        <x:v>dedup_requirement</x:v>
      </x:c>
      <x:c r="J1" s="59" t="str">
        <x:v>quality_note</x:v>
      </x:c>
    </x:row>
    <x:row r="2">
      <x:c r="A2" s="26" t="str">
        <x:v>AVS_E01</x:v>
      </x:c>
      <x:c r="B2" s="27" t="str">
        <x:v>Easy</x:v>
      </x:c>
      <x:c r="C2" s="27" t="str">
        <x:v>Tìm các đoạn có lực lượng cứu hộ, y tế hoặc điều tra đang làm việc tại hiện trường vào ban đêm.</x:v>
      </x:c>
      <x:c r="D2" s="27" t="str">
        <x:v>Find segments showing rescue, medical or investigative personnel working at nighttime incident scenes.</x:v>
      </x:c>
      <x:c r="E2" s="27" t="str">
        <x:v>night scene AND responders/medical/investigation activity</x:v>
      </x:c>
      <x:c r="F2" s="27" t="str">
        <x:v>L21_V001</x:v>
      </x:c>
      <x:c r="G2" s="27" t="str">
        <x:v>visual, caption, object</x:v>
      </x:c>
      <x:c r="H2" s="27" t="str">
        <x:v>multi-positive retrieval; low light; event diversity</x:v>
      </x:c>
      <x:c r="I2" s="27" t="str">
        <x:v>At most one representative segment per news report.</x:v>
      </x:c>
      <x:c r="J2" s="28" t="str">
        <x:v>GT intervals are event-level positives with relevance grades 0–3.</x:v>
      </x:c>
    </x:row>
    <x:row r="3">
      <x:c r="A3" s="29" t="str">
        <x:v>AVS_E02</x:v>
      </x:c>
      <x:c r="B3" s="22" t="str">
        <x:v>Easy</x:v>
      </x:c>
      <x:c r="C3" s="22" t="str">
        <x:v>Tìm các đoạn dưới nước có thợ lặn, cá lớn hoặc rùa biển.</x:v>
      </x:c>
      <x:c r="D3" s="22" t="str">
        <x:v>Find underwater segments containing divers, large fish or sea turtles.</x:v>
      </x:c>
      <x:c r="E3" s="22" t="str">
        <x:v>underwater imagery AND diver/large fish/sea turtle</x:v>
      </x:c>
      <x:c r="F3" s="22" t="str">
        <x:v>L21_V001</x:v>
      </x:c>
      <x:c r="G3" s="22" t="str">
        <x:v>visual, caption, object</x:v>
      </x:c>
      <x:c r="H3" s="22" t="str">
        <x:v>underwater recall; species diversity</x:v>
      </x:c>
      <x:c r="I3" s="22" t="str">
        <x:v>Merge adjacent shots from the same report into one result.</x:v>
      </x:c>
      <x:c r="J3" s="30" t="str">
        <x:v>GT intervals are event-level positives with relevance grades 0–3.</x:v>
      </x:c>
    </x:row>
    <x:row r="4">
      <x:c r="A4" s="29" t="str">
        <x:v>AVS_M01</x:v>
      </x:c>
      <x:c r="B4" s="22" t="str">
        <x:v>Medium</x:v>
      </x:c>
      <x:c r="C4" s="22" t="str">
        <x:v>Tìm các phóng sự về hoạt động bảo vệ môi trường hoặc đa dạng sinh học, trong đó con người thay đổi hành vi, khảo sát sinh vật hoặc dùng động vật hỗ trợ bảo tồn.</x:v>
      </x:c>
      <x:c r="D4" s="22" t="str">
        <x:v>Find reports about environmental or biodiversity protection where people change behavior, survey wildlife or use animals to support conservation.</x:v>
      </x:c>
      <x:c r="E4" s="22" t="str">
        <x:v>environmental purpose with human action; semantic intent more important than shared visuals</x:v>
      </x:c>
      <x:c r="F4" s="22" t="str">
        <x:v>L21_V001</x:v>
      </x:c>
      <x:c r="G4" s="22" t="str">
        <x:v>caption, OCR, semantic sparse, visual</x:v>
      </x:c>
      <x:c r="H4" s="22" t="str">
        <x:v>abstract semantics; cross-domain positives</x:v>
      </x:c>
      <x:c r="I4" s="22" t="str">
        <x:v>Return one result for each distinct conservation program.</x:v>
      </x:c>
      <x:c r="J4" s="30" t="str">
        <x:v>GT intervals are event-level positives with relevance grades 0–3.</x:v>
      </x:c>
    </x:row>
    <x:row r="5">
      <x:c r="A5" s="29" t="str">
        <x:v>AVS_M02</x:v>
      </x:c>
      <x:c r="B5" s="22" t="str">
        <x:v>Medium</x:v>
      </x:c>
      <x:c r="C5" s="22" t="str">
        <x:v>Tìm các đoạn có phương tiện chuyên dụng được sử dụng để xử lý tình huống khẩn cấp.</x:v>
      </x:c>
      <x:c r="D5" s="22" t="str">
        <x:v>Find segments where specialized vehicles are used to handle emergencies.</x:v>
      </x:c>
      <x:c r="E5" s="22" t="str">
        <x:v>specialized emergency vehicle visible and operational context</x:v>
      </x:c>
      <x:c r="F5" s="22" t="str">
        <x:v>L21_V001</x:v>
      </x:c>
      <x:c r="G5" s="22" t="str">
        <x:v>visual, object, caption</x:v>
      </x:c>
      <x:c r="H5" s="22" t="str">
        <x:v>vehicle type; broad recall; hard negatives from ordinary traffic</x:v>
      </x:c>
      <x:c r="I5" s="22" t="str">
        <x:v>Do not return multiple close shots of the same vehicle.</x:v>
      </x:c>
      <x:c r="J5" s="30" t="str">
        <x:v>GT intervals are event-level positives with relevance grades 0–3.</x:v>
      </x:c>
    </x:row>
    <x:row r="6">
      <x:c r="A6" s="29" t="str">
        <x:v>AVS_M03</x:v>
      </x:c>
      <x:c r="B6" s="22" t="str">
        <x:v>Medium</x:v>
      </x:c>
      <x:c r="C6" s="22" t="str">
        <x:v>Tìm các đoạn mô tả thiên tai hoặc sự cố tự nhiên gây nguy hiểm cho khu dân cư và cộng đồng.</x:v>
      </x:c>
      <x:c r="D6" s="22" t="str">
        <x:v>Find segments depicting natural hazards or disasters that threaten communities.</x:v>
      </x:c>
      <x:c r="E6" s="22" t="str">
        <x:v>natural hazard/disaster with community impact</x:v>
      </x:c>
      <x:c r="F6" s="22" t="str">
        <x:v>L21_V001</x:v>
      </x:c>
      <x:c r="G6" s="22" t="str">
        <x:v>caption, OCR, visual</x:v>
      </x:c>
      <x:c r="H6" s="22" t="str">
        <x:v>semantic expansion; disaster-type diversity</x:v>
      </x:c>
      <x:c r="I6" s="22" t="str">
        <x:v>One representative interval per hazard event.</x:v>
      </x:c>
      <x:c r="J6" s="30" t="str">
        <x:v>GT intervals are event-level positives with relevance grades 0–3.</x:v>
      </x:c>
    </x:row>
    <x:row r="7">
      <x:c r="A7" s="29" t="str">
        <x:v>AVS_H01</x:v>
      </x:c>
      <x:c r="B7" s="22" t="str">
        <x:v>Hard</x:v>
      </x:c>
      <x:c r="C7" s="22" t="str">
        <x:v>Tìm các đoạn có người xem, ký hoặc ghi chép tài liệu để xử lý một vụ việc; loại bỏ cảnh người dẫn chương trình trong trường quay.</x:v>
      </x:c>
      <x:c r="D7" s="22" t="str">
        <x:v>Find segments where people inspect, sign or write documents while handling a case; exclude studio presenters.</x:v>
      </x:c>
      <x:c r="E7" s="22" t="str">
        <x:v>document interaction in operational/investigative context; NOT studio</x:v>
      </x:c>
      <x:c r="F7" s="22" t="str">
        <x:v>L21_V001</x:v>
      </x:c>
      <x:c r="G7" s="22" t="str">
        <x:v>visual, region-caption, object-action</x:v>
      </x:c>
      <x:c r="H7" s="22" t="str">
        <x:v>small-object/document retrieval; negative constraint</x:v>
      </x:c>
      <x:c r="I7" s="22" t="str">
        <x:v>Keep distinct contexts rather than repeated close-ups.</x:v>
      </x:c>
      <x:c r="J7" s="30" t="str">
        <x:v>GT intervals are event-level positives with relevance grades 0–3.</x:v>
      </x:c>
    </x:row>
    <x:row r="8">
      <x:c r="A8" s="29" t="str">
        <x:v>AVS_H02</x:v>
      </x:c>
      <x:c r="B8" s="22" t="str">
        <x:v>Hard</x:v>
      </x:c>
      <x:c r="C8" s="22" t="str">
        <x:v>Tìm các phóng sự có động vật là chủ thể chính, bao gồm chăn nuôi, bảo tồn sinh vật biển hoặc chó hỗ trợ tìm kiếm; kết quả phải đa dạng theo loài.</x:v>
      </x:c>
      <x:c r="D8" s="22" t="str">
        <x:v>Find reports where animals are the main subject, including aquaculture, marine conservation or search dogs; results must be diverse by species.</x:v>
      </x:c>
      <x:c r="E8" s="22" t="str">
        <x:v>animal-centered report; maximize species/event diversity</x:v>
      </x:c>
      <x:c r="F8" s="22" t="str">
        <x:v>L21_V001</x:v>
      </x:c>
      <x:c r="G8" s="22" t="str">
        <x:v>visual, caption, OCR, diversity rerank</x:v>
      </x:c>
      <x:c r="H8" s="22" t="str">
        <x:v>multi-domain animal retrieval; diversity-aware ranking</x:v>
      </x:c>
      <x:c r="I8" s="22" t="str">
        <x:v>Maximum one result per species/report before repeating.</x:v>
      </x:c>
      <x:c r="J8" s="30" t="str">
        <x:v>GT intervals are event-level positives with relevance grades 0–3.</x:v>
      </x:c>
    </x:row>
    <x:row r="9">
      <x:c r="A9" s="33" t="str">
        <x:v>AVS_H03</x:v>
      </x:c>
      <x:c r="B9" s="34" t="str">
        <x:v>Hard</x:v>
      </x:c>
      <x:c r="C9" s="34" t="str">
        <x:v>Tìm các cảnh ban đêm có đèn khẩn cấp màu đỏ hoặc xanh và lực lượng xử lý sự cố; loại bỏ cảnh chỉ có ngọn lửa nhưng không thấy phương tiện hay con người.</x:v>
      </x:c>
      <x:c r="D9" s="34" t="str">
        <x:v>Find nighttime scenes with red or blue emergency lights and incident-response activity; exclude shots showing only flames without vehicles or people.</x:v>
      </x:c>
      <x:c r="E9" s="34" t="str">
        <x:v>night + emergency lights + active response; NOT fire-only landscape</x:v>
      </x:c>
      <x:c r="F9" s="34" t="str">
        <x:v>L21_V001</x:v>
      </x:c>
      <x:c r="G9" s="34" t="str">
        <x:v>visual, object-action, negative constraint</x:v>
      </x:c>
      <x:c r="H9" s="34" t="str">
        <x:v>color/lighting; hard-negative exclusion; multiple incidents</x:v>
      </x:c>
      <x:c r="I9" s="34" t="str">
        <x:v>One representative shot per incident.</x:v>
      </x:c>
      <x:c r="J9" s="35" t="str">
        <x:v>GT intervals are event-level positives with relevance grades 0–3.</x:v>
      </x:c>
    </x:row>
  </x:sheetData>
  <x:conditionalFormatting sqref="B2:B9">
    <x:cfRule type="expression" dxfId="6" priority="1">
      <x:formula>B2="Easy"</x:formula>
    </x:cfRule>
    <x:cfRule type="expression" dxfId="7" priority="2">
      <x:formula>B2="Medium"</x:formula>
    </x:cfRule>
    <x:cfRule type="expression" dxfId="8" priority="3">
      <x:formula>B2="Hard"</x:formula>
    </x:cfRule>
  </x:conditionalFormatting>
  <x:pageMargins left="0.7" right="0.7" top="0.75" bottom="0.75" header="0.3" footer="0.3"/>
  <x:tableParts count="1">
    <x:tablePart xmlns:r="http://schemas.openxmlformats.org/officeDocument/2006/relationships" r:id="R219fc3f07db2461b"/>
  </x:tableParts>
</x:worksheet>
</file>

<file path=xl/worksheets/sheet7.xml><?xml version="1.0" encoding="utf-8"?>
<x:worksheet xmlns:x="http://schemas.openxmlformats.org/spreadsheetml/2006/main">
  <x:sheetFormatPr defaultRowHeight="15"/>
  <x:cols>
    <x:col min="1" max="1" width="14" hidden="0" customWidth="1"/>
    <x:col min="2" max="2" width="18" hidden="0" customWidth="1"/>
    <x:col min="3" max="3" width="12" hidden="0" customWidth="1"/>
    <x:col min="4" max="4" width="12" hidden="0" customWidth="1"/>
    <x:col min="5" max="5" width="14" hidden="0" customWidth="1"/>
    <x:col min="6" max="6" width="14" hidden="0" customWidth="1"/>
    <x:col min="7" max="7" width="16" hidden="0" customWidth="1"/>
    <x:col min="8" max="8" width="44" hidden="0" customWidth="1"/>
  </x:cols>
  <x:sheetData>
    <x:row r="1">
      <x:c r="A1" s="57" t="str">
        <x:v>query_id</x:v>
      </x:c>
      <x:c r="B1" s="58" t="str">
        <x:v>event_id</x:v>
      </x:c>
      <x:c r="C1" s="58" t="str">
        <x:v>start_sec</x:v>
      </x:c>
      <x:c r="D1" s="58" t="str">
        <x:v>end_sec</x:v>
      </x:c>
      <x:c r="E1" s="58" t="str">
        <x:v>start_frame</x:v>
      </x:c>
      <x:c r="F1" s="58" t="str">
        <x:v>end_frame</x:v>
      </x:c>
      <x:c r="G1" s="58" t="str">
        <x:v>relevance_grade</x:v>
      </x:c>
      <x:c r="H1" s="59" t="str">
        <x:v>reason</x:v>
      </x:c>
    </x:row>
    <x:row r="2">
      <x:c r="A2" s="26" t="str">
        <x:v>AVS_E01</x:v>
      </x:c>
      <x:c r="B2" s="27" t="str">
        <x:v>E03_GHEP_TIM</x:v>
      </x:c>
      <x:c r="C2" s="27" t="n">
        <x:v>257</x:v>
      </x:c>
      <x:c r="D2" s="27" t="n">
        <x:v>281</x:v>
      </x:c>
      <x:c r="E2" s="27" t="n">
        <x:v>7710</x:v>
      </x:c>
      <x:c r="F2" s="27" t="n">
        <x:v>8430</x:v>
      </x:c>
      <x:c r="G2" s="27" t="n">
        <x:v>3</x:v>
      </x:c>
      <x:c r="H2" s="28" t="str">
        <x:v>medical transport at night</x:v>
      </x:c>
    </x:row>
    <x:row r="3">
      <x:c r="A3" s="29" t="str">
        <x:v>AVS_E01</x:v>
      </x:c>
      <x:c r="B3" s="22" t="str">
        <x:v>E08_5_XE_MAY</x:v>
      </x:c>
      <x:c r="C3" s="22" t="n">
        <x:v>652</x:v>
      </x:c>
      <x:c r="D3" s="22" t="n">
        <x:v>705</x:v>
      </x:c>
      <x:c r="E3" s="22" t="n">
        <x:v>19560</x:v>
      </x:c>
      <x:c r="F3" s="22" t="n">
        <x:v>21150</x:v>
      </x:c>
      <x:c r="G3" s="22" t="n">
        <x:v>3</x:v>
      </x:c>
      <x:c r="H3" s="30" t="str">
        <x:v>responders at motorcycle crash</x:v>
      </x:c>
    </x:row>
    <x:row r="4">
      <x:c r="A4" s="29" t="str">
        <x:v>AVS_E01</x:v>
      </x:c>
      <x:c r="B4" s="22" t="str">
        <x:v>E10_CHAY_RUNG</x:v>
      </x:c>
      <x:c r="C4" s="22" t="n">
        <x:v>909</x:v>
      </x:c>
      <x:c r="D4" s="22" t="n">
        <x:v>925</x:v>
      </x:c>
      <x:c r="E4" s="22" t="n">
        <x:v>27270</x:v>
      </x:c>
      <x:c r="F4" s="22" t="n">
        <x:v>27750</x:v>
      </x:c>
      <x:c r="G4" s="22" t="n">
        <x:v>3</x:v>
      </x:c>
      <x:c r="H4" s="30" t="str">
        <x:v>firefighters and fire engine at night</x:v>
      </x:c>
    </x:row>
    <x:row r="5">
      <x:c r="A5" s="29" t="str">
        <x:v>AVS_E01</x:v>
      </x:c>
      <x:c r="B5" s="22" t="str">
        <x:v>E14_CHUNG_CU</x:v>
      </x:c>
      <x:c r="C5" s="22" t="n">
        <x:v>1178</x:v>
      </x:c>
      <x:c r="D5" s="22" t="n">
        <x:v>1204</x:v>
      </x:c>
      <x:c r="E5" s="22" t="n">
        <x:v>35340</x:v>
      </x:c>
      <x:c r="F5" s="22" t="n">
        <x:v>36120</x:v>
      </x:c>
      <x:c r="G5" s="22" t="n">
        <x:v>3</x:v>
      </x:c>
      <x:c r="H5" s="30" t="str">
        <x:v>night investigation at apartment</x:v>
      </x:c>
    </x:row>
    <x:row r="6">
      <x:c r="A6" s="29" t="str">
        <x:v>AVS_E01</x:v>
      </x:c>
      <x:c r="B6" s="22" t="str">
        <x:v>E15_XE_TAI</x:v>
      </x:c>
      <x:c r="C6" s="22" t="n">
        <x:v>1208</x:v>
      </x:c>
      <x:c r="D6" s="22" t="n">
        <x:v>1248</x:v>
      </x:c>
      <x:c r="E6" s="22" t="n">
        <x:v>36240</x:v>
      </x:c>
      <x:c r="F6" s="22" t="n">
        <x:v>37440</x:v>
      </x:c>
      <x:c r="G6" s="22" t="n">
        <x:v>3</x:v>
      </x:c>
      <x:c r="H6" s="30" t="str">
        <x:v>night road crash response</x:v>
      </x:c>
    </x:row>
    <x:row r="7">
      <x:c r="A7" s="29" t="str">
        <x:v>AVS_E02</x:v>
      </x:c>
      <x:c r="B7" s="22" t="str">
        <x:v>E12_CA_MU_NAU</x:v>
      </x:c>
      <x:c r="C7" s="22" t="n">
        <x:v>1030</x:v>
      </x:c>
      <x:c r="D7" s="22" t="n">
        <x:v>1094</x:v>
      </x:c>
      <x:c r="E7" s="22" t="n">
        <x:v>30900</x:v>
      </x:c>
      <x:c r="F7" s="22" t="n">
        <x:v>32820</x:v>
      </x:c>
      <x:c r="G7" s="22" t="n">
        <x:v>3</x:v>
      </x:c>
      <x:c r="H7" s="30" t="str">
        <x:v>divers and grouper</x:v>
      </x:c>
    </x:row>
    <x:row r="8">
      <x:c r="A8" s="29" t="str">
        <x:v>AVS_E02</x:v>
      </x:c>
      <x:c r="B8" s="22" t="str">
        <x:v>E13_CHO_RUA</x:v>
      </x:c>
      <x:c r="C8" s="22" t="n">
        <x:v>1158</x:v>
      </x:c>
      <x:c r="D8" s="22" t="n">
        <x:v>1169.5</x:v>
      </x:c>
      <x:c r="E8" s="22" t="n">
        <x:v>34740</x:v>
      </x:c>
      <x:c r="F8" s="22" t="n">
        <x:v>35085</x:v>
      </x:c>
      <x:c r="G8" s="22" t="n">
        <x:v>3</x:v>
      </x:c>
      <x:c r="H8" s="30" t="str">
        <x:v>sea turtle and release</x:v>
      </x:c>
    </x:row>
    <x:row r="9">
      <x:c r="A9" s="29" t="str">
        <x:v>AVS_M01</x:v>
      </x:c>
      <x:c r="B9" s="22" t="str">
        <x:v>E11_COPENPAY</x:v>
      </x:c>
      <x:c r="C9" s="22" t="n">
        <x:v>962</x:v>
      </x:c>
      <x:c r="D9" s="22" t="n">
        <x:v>1020</x:v>
      </x:c>
      <x:c r="E9" s="22" t="n">
        <x:v>28860</x:v>
      </x:c>
      <x:c r="F9" s="22" t="n">
        <x:v>30600</x:v>
      </x:c>
      <x:c r="G9" s="22" t="n">
        <x:v>3</x:v>
      </x:c>
      <x:c r="H9" s="30" t="str">
        <x:v>green tourism incentives</x:v>
      </x:c>
    </x:row>
    <x:row r="10">
      <x:c r="A10" s="29" t="str">
        <x:v>AVS_M01</x:v>
      </x:c>
      <x:c r="B10" s="22" t="str">
        <x:v>E12_CA_MU_NAU</x:v>
      </x:c>
      <x:c r="C10" s="22" t="n">
        <x:v>1025</x:v>
      </x:c>
      <x:c r="D10" s="22" t="n">
        <x:v>1100</x:v>
      </x:c>
      <x:c r="E10" s="22" t="n">
        <x:v>30750</x:v>
      </x:c>
      <x:c r="F10" s="22" t="n">
        <x:v>33000</x:v>
      </x:c>
      <x:c r="G10" s="22" t="n">
        <x:v>3</x:v>
      </x:c>
      <x:c r="H10" s="30" t="str">
        <x:v>marine species conservation</x:v>
      </x:c>
    </x:row>
    <x:row r="11">
      <x:c r="A11" s="29" t="str">
        <x:v>AVS_M01</x:v>
      </x:c>
      <x:c r="B11" s="22" t="str">
        <x:v>E13_CHO_RUA</x:v>
      </x:c>
      <x:c r="C11" s="22" t="n">
        <x:v>1105</x:v>
      </x:c>
      <x:c r="D11" s="22" t="n">
        <x:v>1170</x:v>
      </x:c>
      <x:c r="E11" s="22" t="n">
        <x:v>33150</x:v>
      </x:c>
      <x:c r="F11" s="22" t="n">
        <x:v>35100</x:v>
      </x:c>
      <x:c r="G11" s="22" t="n">
        <x:v>3</x:v>
      </x:c>
      <x:c r="H11" s="30" t="str">
        <x:v>dogs and turtle protection</x:v>
      </x:c>
    </x:row>
    <x:row r="12">
      <x:c r="A12" s="29" t="str">
        <x:v>AVS_M02</x:v>
      </x:c>
      <x:c r="B12" s="22" t="str">
        <x:v>E03_GHEP_TIM</x:v>
      </x:c>
      <x:c r="C12" s="22" t="n">
        <x:v>265</x:v>
      </x:c>
      <x:c r="D12" s="22" t="n">
        <x:v>281</x:v>
      </x:c>
      <x:c r="E12" s="22" t="n">
        <x:v>7950</x:v>
      </x:c>
      <x:c r="F12" s="22" t="n">
        <x:v>8430</x:v>
      </x:c>
      <x:c r="G12" s="22" t="n">
        <x:v>3</x:v>
      </x:c>
      <x:c r="H12" s="30" t="str">
        <x:v>ambulance for organ transport</x:v>
      </x:c>
    </x:row>
    <x:row r="13">
      <x:c r="A13" s="29" t="str">
        <x:v>AVS_M02</x:v>
      </x:c>
      <x:c r="B13" s="22" t="str">
        <x:v>E10_CHAY_RUNG</x:v>
      </x:c>
      <x:c r="C13" s="22" t="n">
        <x:v>909</x:v>
      </x:c>
      <x:c r="D13" s="22" t="n">
        <x:v>940</x:v>
      </x:c>
      <x:c r="E13" s="22" t="n">
        <x:v>27270</x:v>
      </x:c>
      <x:c r="F13" s="22" t="n">
        <x:v>28200</x:v>
      </x:c>
      <x:c r="G13" s="22" t="n">
        <x:v>3</x:v>
      </x:c>
      <x:c r="H13" s="30" t="str">
        <x:v>fire engine and helicopter</x:v>
      </x:c>
    </x:row>
    <x:row r="14">
      <x:c r="A14" s="29" t="str">
        <x:v>AVS_M02</x:v>
      </x:c>
      <x:c r="B14" s="22" t="str">
        <x:v>E14_CHUNG_CU</x:v>
      </x:c>
      <x:c r="C14" s="22" t="n">
        <x:v>1178</x:v>
      </x:c>
      <x:c r="D14" s="22" t="n">
        <x:v>1204</x:v>
      </x:c>
      <x:c r="E14" s="22" t="n">
        <x:v>35340</x:v>
      </x:c>
      <x:c r="F14" s="22" t="n">
        <x:v>36120</x:v>
      </x:c>
      <x:c r="G14" s="22" t="n">
        <x:v>2</x:v>
      </x:c>
      <x:c r="H14" s="30" t="str">
        <x:v>emergency/investigation vehicle</x:v>
      </x:c>
    </x:row>
    <x:row r="15">
      <x:c r="A15" s="29" t="str">
        <x:v>AVS_M02</x:v>
      </x:c>
      <x:c r="B15" s="22" t="str">
        <x:v>E15_XE_TAI</x:v>
      </x:c>
      <x:c r="C15" s="22" t="n">
        <x:v>1225</x:v>
      </x:c>
      <x:c r="D15" s="22" t="n">
        <x:v>1245</x:v>
      </x:c>
      <x:c r="E15" s="22" t="n">
        <x:v>36750</x:v>
      </x:c>
      <x:c r="F15" s="22" t="n">
        <x:v>37350</x:v>
      </x:c>
      <x:c r="G15" s="22" t="n">
        <x:v>3</x:v>
      </x:c>
      <x:c r="H15" s="30" t="str">
        <x:v>ambulance at crash scene</x:v>
      </x:c>
    </x:row>
    <x:row r="16">
      <x:c r="A16" s="29" t="str">
        <x:v>AVS_M03</x:v>
      </x:c>
      <x:c r="B16" s="22" t="str">
        <x:v>E01_SATLO</x:v>
      </x:c>
      <x:c r="C16" s="22" t="n">
        <x:v>62.9</x:v>
      </x:c>
      <x:c r="D16" s="22" t="n">
        <x:v>165.5</x:v>
      </x:c>
      <x:c r="E16" s="22" t="n">
        <x:v>1887</x:v>
      </x:c>
      <x:c r="F16" s="22" t="n">
        <x:v>4965</x:v>
      </x:c>
      <x:c r="G16" s="22" t="n">
        <x:v>3</x:v>
      </x:c>
      <x:c r="H16" s="30" t="str">
        <x:v>riverbank erosion</x:v>
      </x:c>
    </x:row>
    <x:row r="17">
      <x:c r="A17" s="29" t="str">
        <x:v>AVS_M03</x:v>
      </x:c>
      <x:c r="B17" s="22" t="str">
        <x:v>E02_GIENG_NUOC</x:v>
      </x:c>
      <x:c r="C17" s="22" t="n">
        <x:v>189</x:v>
      </x:c>
      <x:c r="D17" s="22" t="n">
        <x:v>239.5</x:v>
      </x:c>
      <x:c r="E17" s="22" t="n">
        <x:v>5670</x:v>
      </x:c>
      <x:c r="F17" s="22" t="n">
        <x:v>7185</x:v>
      </x:c>
      <x:c r="G17" s="22" t="n">
        <x:v>2</x:v>
      </x:c>
      <x:c r="H17" s="30" t="str">
        <x:v>unusual water eruption; hazardous anomaly</x:v>
      </x:c>
    </x:row>
    <x:row r="18">
      <x:c r="A18" s="29" t="str">
        <x:v>AVS_M03</x:v>
      </x:c>
      <x:c r="B18" s="22" t="str">
        <x:v>E09_LO_DAT_AN_DO</x:v>
      </x:c>
      <x:c r="C18" s="22" t="n">
        <x:v>839</x:v>
      </x:c>
      <x:c r="D18" s="22" t="n">
        <x:v>884</x:v>
      </x:c>
      <x:c r="E18" s="22" t="n">
        <x:v>25170</x:v>
      </x:c>
      <x:c r="F18" s="22" t="n">
        <x:v>26520</x:v>
      </x:c>
      <x:c r="G18" s="22" t="n">
        <x:v>3</x:v>
      </x:c>
      <x:c r="H18" s="30" t="str">
        <x:v>landslide</x:v>
      </x:c>
    </x:row>
    <x:row r="19">
      <x:c r="A19" s="29" t="str">
        <x:v>AVS_M03</x:v>
      </x:c>
      <x:c r="B19" s="22" t="str">
        <x:v>E10_CHAY_RUNG</x:v>
      </x:c>
      <x:c r="C19" s="22" t="n">
        <x:v>889</x:v>
      </x:c>
      <x:c r="D19" s="22" t="n">
        <x:v>950</x:v>
      </x:c>
      <x:c r="E19" s="22" t="n">
        <x:v>26670</x:v>
      </x:c>
      <x:c r="F19" s="22" t="n">
        <x:v>28500</x:v>
      </x:c>
      <x:c r="G19" s="22" t="n">
        <x:v>3</x:v>
      </x:c>
      <x:c r="H19" s="30" t="str">
        <x:v>wildfire</x:v>
      </x:c>
    </x:row>
    <x:row r="20">
      <x:c r="A20" s="29" t="str">
        <x:v>AVS_H01</x:v>
      </x:c>
      <x:c r="B20" s="22" t="str">
        <x:v>E01_SATLO</x:v>
      </x:c>
      <x:c r="C20" s="22" t="n">
        <x:v>95</x:v>
      </x:c>
      <x:c r="D20" s="22" t="n">
        <x:v>108</x:v>
      </x:c>
      <x:c r="E20" s="22" t="n">
        <x:v>2850</x:v>
      </x:c>
      <x:c r="F20" s="22" t="n">
        <x:v>3240</x:v>
      </x:c>
      <x:c r="G20" s="22" t="n">
        <x:v>2</x:v>
      </x:c>
      <x:c r="H20" s="30" t="str">
        <x:v>meeting documents</x:v>
      </x:c>
    </x:row>
    <x:row r="21">
      <x:c r="A21" s="29" t="str">
        <x:v>AVS_H01</x:v>
      </x:c>
      <x:c r="B21" s="22" t="str">
        <x:v>E01_SATLO</x:v>
      </x:c>
      <x:c r="C21" s="22" t="n">
        <x:v>126</x:v>
      </x:c>
      <x:c r="D21" s="22" t="n">
        <x:v>139</x:v>
      </x:c>
      <x:c r="E21" s="22" t="n">
        <x:v>3780</x:v>
      </x:c>
      <x:c r="F21" s="22" t="n">
        <x:v>4170</x:v>
      </x:c>
      <x:c r="G21" s="22" t="n">
        <x:v>3</x:v>
      </x:c>
      <x:c r="H21" s="30" t="str">
        <x:v>field engineering plan</x:v>
      </x:c>
    </x:row>
    <x:row r="22">
      <x:c r="A22" s="29" t="str">
        <x:v>AVS_H01</x:v>
      </x:c>
      <x:c r="B22" s="22" t="str">
        <x:v>E05_TROM_TAI_SAN</x:v>
      </x:c>
      <x:c r="C22" s="22" t="n">
        <x:v>445</x:v>
      </x:c>
      <x:c r="D22" s="22" t="n">
        <x:v>500</x:v>
      </x:c>
      <x:c r="E22" s="22" t="n">
        <x:v>13350</x:v>
      </x:c>
      <x:c r="F22" s="22" t="n">
        <x:v>15000</x:v>
      </x:c>
      <x:c r="G22" s="22" t="n">
        <x:v>3</x:v>
      </x:c>
      <x:c r="H22" s="30" t="str">
        <x:v>suspects holding statements</x:v>
      </x:c>
    </x:row>
    <x:row r="23">
      <x:c r="A23" s="29" t="str">
        <x:v>AVS_H01</x:v>
      </x:c>
      <x:c r="B23" s="22" t="str">
        <x:v>E06_LUA_DAO</x:v>
      </x:c>
      <x:c r="C23" s="22" t="n">
        <x:v>540</x:v>
      </x:c>
      <x:c r="D23" s="22" t="n">
        <x:v>555</x:v>
      </x:c>
      <x:c r="E23" s="22" t="n">
        <x:v>16200</x:v>
      </x:c>
      <x:c r="F23" s="22" t="n">
        <x:v>16650</x:v>
      </x:c>
      <x:c r="G23" s="22" t="n">
        <x:v>2</x:v>
      </x:c>
      <x:c r="H23" s="30" t="str">
        <x:v>police paperwork</x:v>
      </x:c>
    </x:row>
    <x:row r="24">
      <x:c r="A24" s="29" t="str">
        <x:v>AVS_H01</x:v>
      </x:c>
      <x:c r="B24" s="22" t="str">
        <x:v>E07_DOI_TUONG_XAM</x:v>
      </x:c>
      <x:c r="C24" s="22" t="n">
        <x:v>605</x:v>
      </x:c>
      <x:c r="D24" s="22" t="n">
        <x:v>630</x:v>
      </x:c>
      <x:c r="E24" s="22" t="n">
        <x:v>18150</x:v>
      </x:c>
      <x:c r="F24" s="22" t="n">
        <x:v>18900</x:v>
      </x:c>
      <x:c r="G24" s="22" t="n">
        <x:v>2</x:v>
      </x:c>
      <x:c r="H24" s="30" t="str">
        <x:v>desk/interview paperwork</x:v>
      </x:c>
    </x:row>
    <x:row r="25">
      <x:c r="A25" s="29" t="str">
        <x:v>AVS_H02</x:v>
      </x:c>
      <x:c r="B25" s="22" t="str">
        <x:v>E04_CA_TRA</x:v>
      </x:c>
      <x:c r="C25" s="22" t="n">
        <x:v>325</x:v>
      </x:c>
      <x:c r="D25" s="22" t="n">
        <x:v>390</x:v>
      </x:c>
      <x:c r="E25" s="22" t="n">
        <x:v>9750</x:v>
      </x:c>
      <x:c r="F25" s="22" t="n">
        <x:v>11700</x:v>
      </x:c>
      <x:c r="G25" s="22" t="n">
        <x:v>3</x:v>
      </x:c>
      <x:c r="H25" s="30" t="str">
        <x:v>catfish farming</x:v>
      </x:c>
    </x:row>
    <x:row r="26">
      <x:c r="A26" s="29" t="str">
        <x:v>AVS_H02</x:v>
      </x:c>
      <x:c r="B26" s="22" t="str">
        <x:v>E12_CA_MU_NAU</x:v>
      </x:c>
      <x:c r="C26" s="22" t="n">
        <x:v>1025</x:v>
      </x:c>
      <x:c r="D26" s="22" t="n">
        <x:v>1100</x:v>
      </x:c>
      <x:c r="E26" s="22" t="n">
        <x:v>30750</x:v>
      </x:c>
      <x:c r="F26" s="22" t="n">
        <x:v>33000</x:v>
      </x:c>
      <x:c r="G26" s="22" t="n">
        <x:v>3</x:v>
      </x:c>
      <x:c r="H26" s="30" t="str">
        <x:v>brown grouper</x:v>
      </x:c>
    </x:row>
    <x:row r="27">
      <x:c r="A27" s="29" t="str">
        <x:v>AVS_H02</x:v>
      </x:c>
      <x:c r="B27" s="22" t="str">
        <x:v>E13_CHO_RUA</x:v>
      </x:c>
      <x:c r="C27" s="22" t="n">
        <x:v>1105</x:v>
      </x:c>
      <x:c r="D27" s="22" t="n">
        <x:v>1142</x:v>
      </x:c>
      <x:c r="E27" s="22" t="n">
        <x:v>33150</x:v>
      </x:c>
      <x:c r="F27" s="22" t="n">
        <x:v>34260</x:v>
      </x:c>
      <x:c r="G27" s="22" t="n">
        <x:v>3</x:v>
      </x:c>
      <x:c r="H27" s="30" t="str">
        <x:v>sniffer dogs</x:v>
      </x:c>
    </x:row>
    <x:row r="28">
      <x:c r="A28" s="29" t="str">
        <x:v>AVS_H02</x:v>
      </x:c>
      <x:c r="B28" s="22" t="str">
        <x:v>E13_CHO_RUA</x:v>
      </x:c>
      <x:c r="C28" s="22" t="n">
        <x:v>1158</x:v>
      </x:c>
      <x:c r="D28" s="22" t="n">
        <x:v>1169.5</x:v>
      </x:c>
      <x:c r="E28" s="22" t="n">
        <x:v>34740</x:v>
      </x:c>
      <x:c r="F28" s="22" t="n">
        <x:v>35085</x:v>
      </x:c>
      <x:c r="G28" s="22" t="n">
        <x:v>3</x:v>
      </x:c>
      <x:c r="H28" s="30" t="str">
        <x:v>sea turtle</x:v>
      </x:c>
    </x:row>
    <x:row r="29">
      <x:c r="A29" s="29" t="str">
        <x:v>AVS_H03</x:v>
      </x:c>
      <x:c r="B29" s="22" t="str">
        <x:v>E03_GHEP_TIM</x:v>
      </x:c>
      <x:c r="C29" s="22" t="n">
        <x:v>269</x:v>
      </x:c>
      <x:c r="D29" s="22" t="n">
        <x:v>281</x:v>
      </x:c>
      <x:c r="E29" s="22" t="n">
        <x:v>8070</x:v>
      </x:c>
      <x:c r="F29" s="22" t="n">
        <x:v>8430</x:v>
      </x:c>
      <x:c r="G29" s="22" t="n">
        <x:v>3</x:v>
      </x:c>
      <x:c r="H29" s="30" t="str">
        <x:v>ambulance lights and movement</x:v>
      </x:c>
    </x:row>
    <x:row r="30">
      <x:c r="A30" s="29" t="str">
        <x:v>AVS_H03</x:v>
      </x:c>
      <x:c r="B30" s="22" t="str">
        <x:v>E08_5_XE_MAY</x:v>
      </x:c>
      <x:c r="C30" s="22" t="n">
        <x:v>652</x:v>
      </x:c>
      <x:c r="D30" s="22" t="n">
        <x:v>670</x:v>
      </x:c>
      <x:c r="E30" s="22" t="n">
        <x:v>19560</x:v>
      </x:c>
      <x:c r="F30" s="22" t="n">
        <x:v>20100</x:v>
      </x:c>
      <x:c r="G30" s="22" t="n">
        <x:v>2</x:v>
      </x:c>
      <x:c r="H30" s="30" t="str">
        <x:v>night responders and vehicles</x:v>
      </x:c>
    </x:row>
    <x:row r="31">
      <x:c r="A31" s="29" t="str">
        <x:v>AVS_H03</x:v>
      </x:c>
      <x:c r="B31" s="22" t="str">
        <x:v>E10_CHAY_RUNG</x:v>
      </x:c>
      <x:c r="C31" s="22" t="n">
        <x:v>909</x:v>
      </x:c>
      <x:c r="D31" s="22" t="n">
        <x:v>925</x:v>
      </x:c>
      <x:c r="E31" s="22" t="n">
        <x:v>27270</x:v>
      </x:c>
      <x:c r="F31" s="22" t="n">
        <x:v>27750</x:v>
      </x:c>
      <x:c r="G31" s="22" t="n">
        <x:v>3</x:v>
      </x:c>
      <x:c r="H31" s="30" t="str">
        <x:v>fire engine blue lights</x:v>
      </x:c>
    </x:row>
    <x:row r="32">
      <x:c r="A32" s="29" t="str">
        <x:v>AVS_H03</x:v>
      </x:c>
      <x:c r="B32" s="22" t="str">
        <x:v>E14_CHUNG_CU</x:v>
      </x:c>
      <x:c r="C32" s="22" t="n">
        <x:v>1178</x:v>
      </x:c>
      <x:c r="D32" s="22" t="n">
        <x:v>1204</x:v>
      </x:c>
      <x:c r="E32" s="22" t="n">
        <x:v>35340</x:v>
      </x:c>
      <x:c r="F32" s="22" t="n">
        <x:v>36120</x:v>
      </x:c>
      <x:c r="G32" s="22" t="n">
        <x:v>2</x:v>
      </x:c>
      <x:c r="H32" s="30" t="str">
        <x:v>night cordon and emergency vehicle</x:v>
      </x:c>
    </x:row>
    <x:row r="33">
      <x:c r="A33" s="33" t="str">
        <x:v>AVS_H03</x:v>
      </x:c>
      <x:c r="B33" s="34" t="str">
        <x:v>E15_XE_TAI</x:v>
      </x:c>
      <x:c r="C33" s="34" t="n">
        <x:v>1225</x:v>
      </x:c>
      <x:c r="D33" s="34" t="n">
        <x:v>1245</x:v>
      </x:c>
      <x:c r="E33" s="34" t="n">
        <x:v>36750</x:v>
      </x:c>
      <x:c r="F33" s="34" t="n">
        <x:v>37350</x:v>
      </x:c>
      <x:c r="G33" s="34" t="n">
        <x:v>3</x:v>
      </x:c>
      <x:c r="H33" s="35" t="str">
        <x:v>ambulance and crash response</x:v>
      </x:c>
    </x:row>
  </x:sheetData>
  <x:pageMargins left="0.7" right="0.7" top="0.75" bottom="0.75" header="0.3" footer="0.3"/>
  <x:tableParts count="1">
    <x:tablePart xmlns:r="http://schemas.openxmlformats.org/officeDocument/2006/relationships" r:id="R41697bc8b9e44971"/>
  </x:tableParts>
</x:worksheet>
</file>

<file path=xl/worksheets/sheet8.xml><?xml version="1.0" encoding="utf-8"?>
<x:worksheet xmlns:x="http://schemas.openxmlformats.org/spreadsheetml/2006/main">
  <x:sheetFormatPr defaultRowHeight="15"/>
  <x:cols>
    <x:col min="1" max="1" width="14" hidden="0" customWidth="1"/>
    <x:col min="2" max="2" width="11" hidden="0" customWidth="1"/>
    <x:col min="3" max="3" width="62" hidden="0" customWidth="1"/>
    <x:col min="4" max="4" width="62" hidden="0" customWidth="1"/>
    <x:col min="5" max="5" width="12" hidden="0" customWidth="1"/>
    <x:col min="6" max="6" width="14" hidden="0" customWidth="1"/>
    <x:col min="7" max="7" width="30" hidden="0" customWidth="1"/>
    <x:col min="8" max="8" width="42" hidden="0" customWidth="1"/>
    <x:col min="9" max="9" width="44" hidden="0" customWidth="1"/>
    <x:col min="10" max="10" width="42" hidden="0" customWidth="1"/>
  </x:cols>
  <x:sheetData>
    <x:row r="1">
      <x:c r="A1" s="57" t="str">
        <x:v>query_id</x:v>
      </x:c>
      <x:c r="B1" s="58" t="str">
        <x:v>difficulty</x:v>
      </x:c>
      <x:c r="C1" s="58" t="str">
        <x:v>query_vi</x:v>
      </x:c>
      <x:c r="D1" s="58" t="str">
        <x:v>query_en</x:v>
      </x:c>
      <x:c r="E1" s="58" t="str">
        <x:v>event_count</x:v>
      </x:c>
      <x:c r="F1" s="58" t="str">
        <x:v>target_video</x:v>
      </x:c>
      <x:c r="G1" s="58" t="str">
        <x:v>required_modalities</x:v>
      </x:c>
      <x:c r="H1" s="58" t="str">
        <x:v>diagnostic_tags</x:v>
      </x:c>
      <x:c r="I1" s="58" t="str">
        <x:v>hard_negative</x:v>
      </x:c>
      <x:c r="J1" s="59" t="str">
        <x:v>quality_note</x:v>
      </x:c>
    </x:row>
    <x:row r="2">
      <x:c r="A2" s="26" t="str">
        <x:v>TRAKE_E01</x:v>
      </x:c>
      <x:c r="B2" s="27" t="str">
        <x:v>Easy</x:v>
      </x:c>
      <x:c r="C2" s="27" t="str">
        <x:v>Tìm video về giếng nước bất ngờ phun cao và căn chỉnh bốn khoảnh khắc: (1) cột nước được quay từ xa; (2) một người đàn ông tiến sát cột nước; (3) người này cầm chai hoặc vật chứa cạnh dòng nước; (4) nhiều người cùng chỉ về phía cột nước.</x:v>
      </x:c>
      <x:c r="D2" s="27" t="str">
        <x:v>Find the video of a well suddenly erupting and align four moments: (1) the water column seen from a distance; (2) a man approaches it; (3) he holds a bottle or container beside the water; (4) several people point toward the plume.</x:v>
      </x:c>
      <x:c r="E2" s="27" t="n">
        <x:v>4</x:v>
      </x:c>
      <x:c r="F2" s="27" t="str">
        <x:v>L21_V001</x:v>
      </x:c>
      <x:c r="G2" s="27" t="str">
        <x:v>visual, temporal, action</x:v>
      </x:c>
      <x:c r="H2" s="27" t="str">
        <x:v>ordered stages; portrait footage; precise semantic frames</x:v>
      </x:c>
      <x:c r="I2" s="27" t="str">
        <x:v>single still frames are insufficient; event order must be preserved</x:v>
      </x:c>
      <x:c r="J2" s="28" t="str">
        <x:v>Each semantic keyframe GT window is 9 frames wide (±4 frames), matching TRAKE-style precise alignment.</x:v>
      </x:c>
    </x:row>
    <x:row r="3">
      <x:c r="A3" s="29" t="str">
        <x:v>TRAKE_E02</x:v>
      </x:c>
      <x:c r="B3" s="22" t="str">
        <x:v>Easy</x:v>
      </x:c>
      <x:c r="C3" s="22" t="str">
        <x:v>Tìm video vận chuyển trái tim để ghép và căn chỉnh: (1) máy bay tại sân bay ban đêm; (2) đội y tế mang thùng chuyên dụng đến xe cứu thương; (3) xe cứu thương di chuyển trên đường ướt; (4) bác sĩ tiến hành phẫu thuật.</x:v>
      </x:c>
      <x:c r="D3" s="22" t="str">
        <x:v>Find the heart-transplant transport video and align: (1) an airplane at the airport at night; (2) the medical team carries a specialized box to the ambulance; (3) the ambulance travels on a wet road; (4) doctors perform surgery.</x:v>
      </x:c>
      <x:c r="E3" s="22" t="n">
        <x:v>4</x:v>
      </x:c>
      <x:c r="F3" s="22" t="str">
        <x:v>L21_V001</x:v>
      </x:c>
      <x:c r="G3" s="22" t="str">
        <x:v>visual, temporal, OCR</x:v>
      </x:c>
      <x:c r="H3" s="22" t="str">
        <x:v>cross-location sequence; night-to-hospital transition</x:v>
      </x:c>
      <x:c r="I3" s="22" t="str">
        <x:v>other emergency vehicles appear later in the video</x:v>
      </x:c>
      <x:c r="J3" s="30" t="str">
        <x:v>Each semantic keyframe GT window is 9 frames wide (±4 frames), matching TRAKE-style precise alignment.</x:v>
      </x:c>
    </x:row>
    <x:row r="4">
      <x:c r="A4" s="29" t="str">
        <x:v>TRAKE_M01</x:v>
      </x:c>
      <x:c r="B4" s="22" t="str">
        <x:v>Medium</x:v>
      </x:c>
      <x:c r="C4" s="22" t="str">
        <x:v>Tìm video về sạt lở bờ sông và căn chỉnh năm khoảnh khắc: (1) toàn cảnh bờ sông sụt lún cạnh nhà dân; (2) biển cảnh báo sạt lở; (3) cán bộ phát biểu trong cuộc họp; (4) đoàn khảo sát xem bản vẽ lớn; (5) công trình bê tông ven sông được kiểm tra.</x:v>
      </x:c>
      <x:c r="D4" s="22" t="str">
        <x:v>Find the riverbank-erosion video and align five moments: (1) an overview of the collapsed bank beside homes; (2) the erosion warning sign; (3) an official speaking in a meeting; (4) the survey team examining a large plan; (5) the concrete riverside structure being inspected.</x:v>
      </x:c>
      <x:c r="E4" s="22" t="n">
        <x:v>5</x:v>
      </x:c>
      <x:c r="F4" s="22" t="str">
        <x:v>L21_V001</x:v>
      </x:c>
      <x:c r="G4" s="22" t="str">
        <x:v>visual, OCR, temporal, region-caption</x:v>
      </x:c>
      <x:c r="H4" s="22" t="str">
        <x:v>long report; repeated locations; document keyframe</x:v>
      </x:c>
      <x:c r="I4" s="22" t="str">
        <x:v>opening headline at 00:07–00:13 is not part of the full aligned sequence</x:v>
      </x:c>
      <x:c r="J4" s="30" t="str">
        <x:v>Each semantic keyframe GT window is 9 frames wide (±4 frames), matching TRAKE-style precise alignment.</x:v>
      </x:c>
    </x:row>
    <x:row r="5">
      <x:c r="A5" s="29" t="str">
        <x:v>TRAKE_M02</x:v>
      </x:c>
      <x:c r="B5" s="22" t="str">
        <x:v>Medium</x:v>
      </x:c>
      <x:c r="C5" s="22" t="str">
        <x:v>Tìm video cháy rừng và căn chỉnh: (1) sườn đồi bốc cháy dữ dội trong đêm; (2) xe cứu hỏa bật đèn xanh; (3) trực thăng mang túi nước bay qua vùng khói; (4) cảnh rừng cháy xơ xác và xe cứu hỏa vào ban ngày.</x:v>
      </x:c>
      <x:c r="D5" s="22" t="str">
        <x:v>Find the wildfire video and align: (1) a hillside burning intensely at night; (2) a fire engine with blue lights; (3) a helicopter carrying a water bucket through smoke; (4) the burned forest and fire engine in daylight.</x:v>
      </x:c>
      <x:c r="E5" s="22" t="n">
        <x:v>4</x:v>
      </x:c>
      <x:c r="F5" s="22" t="str">
        <x:v>L21_V001</x:v>
      </x:c>
      <x:c r="G5" s="22" t="str">
        <x:v>visual, temporal, object</x:v>
      </x:c>
      <x:c r="H5" s="22" t="str">
        <x:v>headline duplicate; day/night transition; emergency vehicles</x:v>
      </x:c>
      <x:c r="I5" s="22" t="str">
        <x:v>00:17–00:24 contains a duplicate wildfire teaser</x:v>
      </x:c>
      <x:c r="J5" s="30" t="str">
        <x:v>Each semantic keyframe GT window is 9 frames wide (±4 frames), matching TRAKE-style precise alignment.</x:v>
      </x:c>
    </x:row>
    <x:row r="6">
      <x:c r="A6" s="29" t="str">
        <x:v>TRAKE_M03</x:v>
      </x:c>
      <x:c r="B6" s="22" t="str">
        <x:v>Medium</x:v>
      </x:c>
      <x:c r="C6" s="22" t="str">
        <x:v>Tìm video bảo vệ rùa biển và căn chỉnh năm khoảnh khắc: (1) chó đánh hơi trên bãi cát; (2) người hướng dẫn đi cùng hai con chó; (3) nhân viên tại trung tâm cứu hộ; (4) rùa biển bơi dưới nước; (5) rùa được thả từ thuyền xuống biển.</x:v>
      </x:c>
      <x:c r="D6" s="22" t="str">
        <x:v>Find the sea-turtle conservation video and align five moments: (1) a sniffer dog on the beach; (2) a handler walking with two dogs; (3) staff at a rescue center; (4) a sea turtle swimming underwater; (5) the turtle being released from a boat.</x:v>
      </x:c>
      <x:c r="E6" s="22" t="n">
        <x:v>5</x:v>
      </x:c>
      <x:c r="F6" s="22" t="str">
        <x:v>L21_V001</x:v>
      </x:c>
      <x:c r="G6" s="22" t="str">
        <x:v>visual, temporal, caption</x:v>
      </x:c>
      <x:c r="H6" s="22" t="str">
        <x:v>animal transition; beach-to-center-to-sea sequence</x:v>
      </x:c>
      <x:c r="I6" s="22" t="str">
        <x:v>previous marine report has divers and fish but no dogs or turtle release</x:v>
      </x:c>
      <x:c r="J6" s="30" t="str">
        <x:v>Each semantic keyframe GT window is 9 frames wide (±4 frames), matching TRAKE-style precise alignment.</x:v>
      </x:c>
    </x:row>
    <x:row r="7">
      <x:c r="A7" s="29" t="str">
        <x:v>TRAKE_H01</x:v>
      </x:c>
      <x:c r="B7" s="22" t="str">
        <x:v>Hard</x:v>
      </x:c>
      <x:c r="C7" s="22" t="str">
        <x:v>Tìm phóng sự CopenPay và căn chỉnh: (1) phương tiện màu xanh di chuyển trên kênh; (2) thuyền chở đông du khách đi giữa dãy nhà; (3) người đội mũ bảo hiểm di chuyển bằng xe đạp; (4) khách tham quan không gian bên trong bảo tàng.</x:v>
      </x:c>
      <x:c r="D7" s="22" t="str">
        <x:v>Find the CopenPay report and align: (1) a green craft moving on the canal; (2) a sightseeing boat full of tourists among colorful buildings; (3) a helmeted person traveling by bicycle; (4) visitors inside a museum.</x:v>
      </x:c>
      <x:c r="E7" s="22" t="n">
        <x:v>4</x:v>
      </x:c>
      <x:c r="F7" s="22" t="str">
        <x:v>L21_V001</x:v>
      </x:c>
      <x:c r="G7" s="22" t="str">
        <x:v>visual, temporal, caption, OCR</x:v>
      </x:c>
      <x:c r="H7" s="22" t="str">
        <x:v>semantic program with diverse visual stages; cross-modal intent</x:v>
      </x:c>
      <x:c r="I7" s="22" t="str">
        <x:v>city and water scenes alone do not satisfy the full sequence</x:v>
      </x:c>
      <x:c r="J7" s="30" t="str">
        <x:v>Each semantic keyframe GT window is 9 frames wide (±4 frames), matching TRAKE-style precise alignment.</x:v>
      </x:c>
    </x:row>
    <x:row r="8">
      <x:c r="A8" s="29" t="str">
        <x:v>TRAKE_H02</x:v>
      </x:c>
      <x:c r="B8" s="22" t="str">
        <x:v>Hard</x:v>
      </x:c>
      <x:c r="C8" s="22" t="str">
        <x:v>Tìm video bảo tồn cá mú nâu và căn chỉnh năm khoảnh khắc: (1) cá mú lớn bơi giữa đàn cá; (2) hai thợ lặn bơi gần đáy; (3) cận cảnh cá mú sát nền đá; (4) thợ lặn khảo sát sinh vật trên đáy biển; (5) thợ lặn bơi qua một đàn cá nhỏ.</x:v>
      </x:c>
      <x:c r="D8" s="22" t="str">
        <x:v>Find the brown-grouper conservation video and align five moments: (1) a large grouper among a school of fish; (2) two divers near the seabed; (3) a close view of the grouper above the rocky bottom; (4) a diver surveys marine life on the seabed; (5) a diver swims through a small school of fish.</x:v>
      </x:c>
      <x:c r="E8" s="22" t="n">
        <x:v>5</x:v>
      </x:c>
      <x:c r="F8" s="22" t="str">
        <x:v>L21_V001</x:v>
      </x:c>
      <x:c r="G8" s="22" t="str">
        <x:v>visual, temporal, species recognition</x:v>
      </x:c>
      <x:c r="H8" s="22" t="str">
        <x:v>fine-grained underwater alignment; similar backgrounds</x:v>
      </x:c>
      <x:c r="I8" s="22" t="str">
        <x:v>turtle footage follows immediately after this report</x:v>
      </x:c>
      <x:c r="J8" s="30" t="str">
        <x:v>Each semantic keyframe GT window is 9 frames wide (±4 frames), matching TRAKE-style precise alignment.</x:v>
      </x:c>
    </x:row>
    <x:row r="9">
      <x:c r="A9" s="33" t="str">
        <x:v>TRAKE_H03</x:v>
      </x:c>
      <x:c r="B9" s="34" t="str">
        <x:v>Hard</x:v>
      </x:c>
      <x:c r="C9" s="34" t="str">
        <x:v>Tìm video về vụ năm xe máy va chạm liên hoàn và căn chỉnh: (1) toàn cảnh lực lượng chức năng tại hiện trường; (2) người kiểm tra chiếc xe máy màu đỏ; (3) cận cảnh phần đuôi chiếc xe màu xanh bị hư hỏng; (4) cận cảnh biển số của các xe tại hiện trường.</x:v>
      </x:c>
      <x:c r="D9" s="34" t="str">
        <x:v>Find the five-motorcycle collision video and align: (1) an overview of responders at the scene; (2) someone inspecting a red motorcycle; (3) a close view of the damaged rear of a blue motorcycle; (4) close views of license plates at the scene.</x:v>
      </x:c>
      <x:c r="E9" s="34" t="n">
        <x:v>4</x:v>
      </x:c>
      <x:c r="F9" s="34" t="str">
        <x:v>L21_V001</x:v>
      </x:c>
      <x:c r="G9" s="34" t="str">
        <x:v>visual, temporal, region-detail, OCR</x:v>
      </x:c>
      <x:c r="H9" s="34" t="str">
        <x:v>same-location fine alignment; low light; vehicle-detail sequence</x:v>
      </x:c>
      <x:c r="I9" s="34" t="str">
        <x:v>final truck collision is another nighttime road accident</x:v>
      </x:c>
      <x:c r="J9" s="35" t="str">
        <x:v>Each semantic keyframe GT window is 9 frames wide (±4 frames), matching TRAKE-style precise alignment.</x:v>
      </x:c>
    </x:row>
  </x:sheetData>
  <x:conditionalFormatting sqref="B2:B9">
    <x:cfRule type="expression" dxfId="9" priority="1">
      <x:formula>B2="Easy"</x:formula>
    </x:cfRule>
    <x:cfRule type="expression" dxfId="10" priority="2">
      <x:formula>B2="Medium"</x:formula>
    </x:cfRule>
    <x:cfRule type="expression" dxfId="11" priority="3">
      <x:formula>B2="Hard"</x:formula>
    </x:cfRule>
  </x:conditionalFormatting>
  <x:pageMargins left="0.7" right="0.7" top="0.75" bottom="0.75" header="0.3" footer="0.3"/>
  <x:tableParts count="1">
    <x:tablePart xmlns:r="http://schemas.openxmlformats.org/officeDocument/2006/relationships" r:id="Rc5aec724ba2b4ac7"/>
  </x:tableParts>
</x:worksheet>
</file>

<file path=xl/worksheets/sheet9.xml><?xml version="1.0" encoding="utf-8"?>
<x:worksheet xmlns:x="http://schemas.openxmlformats.org/spreadsheetml/2006/main">
  <x:sheetFormatPr defaultRowHeight="15"/>
  <x:cols>
    <x:col min="1" max="1" width="14" hidden="0" customWidth="1"/>
    <x:col min="2" max="2" width="12" hidden="0" customWidth="1"/>
    <x:col min="3" max="3" width="48" hidden="0" customWidth="1"/>
    <x:col min="4" max="4" width="48" hidden="0" customWidth="1"/>
    <x:col min="5" max="5" width="18" hidden="0" customWidth="1"/>
    <x:col min="6" max="6" width="16" hidden="0" customWidth="1"/>
    <x:col min="7" max="7" width="16" hidden="0" customWidth="1"/>
    <x:col min="8" max="8" width="20" hidden="0" customWidth="1"/>
    <x:col min="9" max="9" width="14" hidden="0" customWidth="1"/>
    <x:col min="10" max="10" width="36" hidden="0" customWidth="1"/>
  </x:cols>
  <x:sheetData>
    <x:row r="1">
      <x:c r="A1" s="57" t="str">
        <x:v>query_id</x:v>
      </x:c>
      <x:c r="B1" s="58" t="str">
        <x:v>event_order</x:v>
      </x:c>
      <x:c r="C1" s="58" t="str">
        <x:v>description_vi</x:v>
      </x:c>
      <x:c r="D1" s="58" t="str">
        <x:v>description_en</x:v>
      </x:c>
      <x:c r="E1" s="58" t="str">
        <x:v>semantic_time_sec</x:v>
      </x:c>
      <x:c r="F1" s="58" t="str">
        <x:v>gt_start_frame</x:v>
      </x:c>
      <x:c r="G1" s="58" t="str">
        <x:v>gt_end_frame</x:v>
      </x:c>
      <x:c r="H1" s="58" t="str">
        <x:v>representative_frame</x:v>
      </x:c>
      <x:c r="I1" s="58" t="str">
        <x:v>window_size</x:v>
      </x:c>
      <x:c r="J1" s="59" t="str">
        <x:v>verification</x:v>
      </x:c>
    </x:row>
    <x:row r="2">
      <x:c r="A2" s="26" t="str">
        <x:v>TRAKE_E01</x:v>
      </x:c>
      <x:c r="B2" s="27" t="n">
        <x:v>1</x:v>
      </x:c>
      <x:c r="C2" s="27" t="str">
        <x:v>Cột nước trắng phun cao được quay từ xa.</x:v>
      </x:c>
      <x:c r="D2" s="27" t="str">
        <x:v>The tall white water plume is seen from a distance.</x:v>
      </x:c>
      <x:c r="E2" s="27" t="n">
        <x:v>190</x:v>
      </x:c>
      <x:c r="F2" s="27" t="n">
        <x:v>5696</x:v>
      </x:c>
      <x:c r="G2" s="27" t="n">
        <x:v>5704</x:v>
      </x:c>
      <x:c r="H2" s="27" t="n">
        <x:v>5700</x:v>
      </x:c>
      <x:c r="I2" s="27" t="n">
        <x:v>9</x:v>
      </x:c>
      <x:c r="J2" s="28" t="str">
        <x:v>visually inspected stable semantic moment</x:v>
      </x:c>
    </x:row>
    <x:row r="3">
      <x:c r="A3" s="29" t="str">
        <x:v>TRAKE_E01</x:v>
      </x:c>
      <x:c r="B3" s="22" t="n">
        <x:v>2</x:v>
      </x:c>
      <x:c r="C3" s="22" t="str">
        <x:v>Một người đàn ông tiến sát và đưa tay về phía cột nước.</x:v>
      </x:c>
      <x:c r="D3" s="22" t="str">
        <x:v>A man moves close and reaches toward the water plume.</x:v>
      </x:c>
      <x:c r="E3" s="22" t="n">
        <x:v>201</x:v>
      </x:c>
      <x:c r="F3" s="22" t="n">
        <x:v>6026</x:v>
      </x:c>
      <x:c r="G3" s="22" t="n">
        <x:v>6034</x:v>
      </x:c>
      <x:c r="H3" s="22" t="n">
        <x:v>6030</x:v>
      </x:c>
      <x:c r="I3" s="22" t="n">
        <x:v>9</x:v>
      </x:c>
      <x:c r="J3" s="30" t="str">
        <x:v>visually inspected stable semantic moment</x:v>
      </x:c>
    </x:row>
    <x:row r="4">
      <x:c r="A4" s="29" t="str">
        <x:v>TRAKE_E01</x:v>
      </x:c>
      <x:c r="B4" s="22" t="n">
        <x:v>3</x:v>
      </x:c>
      <x:c r="C4" s="22" t="str">
        <x:v>Người đàn ông cầm chai hoặc vật chứa cạnh dòng nước.</x:v>
      </x:c>
      <x:c r="D4" s="22" t="str">
        <x:v>The man holds a bottle or container beside the water.</x:v>
      </x:c>
      <x:c r="E4" s="22" t="n">
        <x:v>213</x:v>
      </x:c>
      <x:c r="F4" s="22" t="n">
        <x:v>6386</x:v>
      </x:c>
      <x:c r="G4" s="22" t="n">
        <x:v>6394</x:v>
      </x:c>
      <x:c r="H4" s="22" t="n">
        <x:v>6390</x:v>
      </x:c>
      <x:c r="I4" s="22" t="n">
        <x:v>9</x:v>
      </x:c>
      <x:c r="J4" s="30" t="str">
        <x:v>visually inspected stable semantic moment</x:v>
      </x:c>
    </x:row>
    <x:row r="5">
      <x:c r="A5" s="29" t="str">
        <x:v>TRAKE_E01</x:v>
      </x:c>
      <x:c r="B5" s="22" t="n">
        <x:v>4</x:v>
      </x:c>
      <x:c r="C5" s="22" t="str">
        <x:v>Một nhóm người chỉ tay về phía cột nước.</x:v>
      </x:c>
      <x:c r="D5" s="22" t="str">
        <x:v>A group of people point toward the plume.</x:v>
      </x:c>
      <x:c r="E5" s="22" t="n">
        <x:v>234</x:v>
      </x:c>
      <x:c r="F5" s="22" t="n">
        <x:v>7016</x:v>
      </x:c>
      <x:c r="G5" s="22" t="n">
        <x:v>7024</x:v>
      </x:c>
      <x:c r="H5" s="22" t="n">
        <x:v>7020</x:v>
      </x:c>
      <x:c r="I5" s="22" t="n">
        <x:v>9</x:v>
      </x:c>
      <x:c r="J5" s="30" t="str">
        <x:v>visually inspected stable semantic moment</x:v>
      </x:c>
    </x:row>
    <x:row r="6">
      <x:c r="A6" s="29" t="str">
        <x:v>TRAKE_E02</x:v>
      </x:c>
      <x:c r="B6" s="22" t="n">
        <x:v>1</x:v>
      </x:c>
      <x:c r="C6" s="22" t="str">
        <x:v>Máy bay xuất hiện tại sân bay trong đêm.</x:v>
      </x:c>
      <x:c r="D6" s="22" t="str">
        <x:v>An airplane is shown at the airport at night.</x:v>
      </x:c>
      <x:c r="E6" s="22" t="n">
        <x:v>261</x:v>
      </x:c>
      <x:c r="F6" s="22" t="n">
        <x:v>7826</x:v>
      </x:c>
      <x:c r="G6" s="22" t="n">
        <x:v>7834</x:v>
      </x:c>
      <x:c r="H6" s="22" t="n">
        <x:v>7830</x:v>
      </x:c>
      <x:c r="I6" s="22" t="n">
        <x:v>9</x:v>
      </x:c>
      <x:c r="J6" s="30" t="str">
        <x:v>visually inspected stable semantic moment</x:v>
      </x:c>
    </x:row>
    <x:row r="7">
      <x:c r="A7" s="29" t="str">
        <x:v>TRAKE_E02</x:v>
      </x:c>
      <x:c r="B7" s="22" t="n">
        <x:v>2</x:v>
      </x:c>
      <x:c r="C7" s="22" t="str">
        <x:v>Đội y tế mang thùng chuyên dụng tới xe cứu thương.</x:v>
      </x:c>
      <x:c r="D7" s="22" t="str">
        <x:v>The medical team carries a specialized container to the ambulance.</x:v>
      </x:c>
      <x:c r="E7" s="22" t="n">
        <x:v>269</x:v>
      </x:c>
      <x:c r="F7" s="22" t="n">
        <x:v>8066</x:v>
      </x:c>
      <x:c r="G7" s="22" t="n">
        <x:v>8074</x:v>
      </x:c>
      <x:c r="H7" s="22" t="n">
        <x:v>8070</x:v>
      </x:c>
      <x:c r="I7" s="22" t="n">
        <x:v>9</x:v>
      </x:c>
      <x:c r="J7" s="30" t="str">
        <x:v>visually inspected stable semantic moment</x:v>
      </x:c>
    </x:row>
    <x:row r="8">
      <x:c r="A8" s="29" t="str">
        <x:v>TRAKE_E02</x:v>
      </x:c>
      <x:c r="B8" s="22" t="n">
        <x:v>3</x:v>
      </x:c>
      <x:c r="C8" s="22" t="str">
        <x:v>Xe cứu thương di chuyển trên đường ướt ban đêm.</x:v>
      </x:c>
      <x:c r="D8" s="22" t="str">
        <x:v>The ambulance travels along a wet road at night.</x:v>
      </x:c>
      <x:c r="E8" s="22" t="n">
        <x:v>277</x:v>
      </x:c>
      <x:c r="F8" s="22" t="n">
        <x:v>8306</x:v>
      </x:c>
      <x:c r="G8" s="22" t="n">
        <x:v>8314</x:v>
      </x:c>
      <x:c r="H8" s="22" t="n">
        <x:v>8310</x:v>
      </x:c>
      <x:c r="I8" s="22" t="n">
        <x:v>9</x:v>
      </x:c>
      <x:c r="J8" s="30" t="str">
        <x:v>visually inspected stable semantic moment</x:v>
      </x:c>
    </x:row>
    <x:row r="9">
      <x:c r="A9" s="29" t="str">
        <x:v>TRAKE_E02</x:v>
      </x:c>
      <x:c r="B9" s="22" t="n">
        <x:v>4</x:v>
      </x:c>
      <x:c r="C9" s="22" t="str">
        <x:v>Các bác sĩ thực hiện ca phẫu thuật trong phòng mổ.</x:v>
      </x:c>
      <x:c r="D9" s="22" t="str">
        <x:v>Doctors perform surgery in the operating room.</x:v>
      </x:c>
      <x:c r="E9" s="22" t="n">
        <x:v>293</x:v>
      </x:c>
      <x:c r="F9" s="22" t="n">
        <x:v>8786</x:v>
      </x:c>
      <x:c r="G9" s="22" t="n">
        <x:v>8794</x:v>
      </x:c>
      <x:c r="H9" s="22" t="n">
        <x:v>8790</x:v>
      </x:c>
      <x:c r="I9" s="22" t="n">
        <x:v>9</x:v>
      </x:c>
      <x:c r="J9" s="30" t="str">
        <x:v>visually inspected stable semantic moment</x:v>
      </x:c>
    </x:row>
    <x:row r="10">
      <x:c r="A10" s="29" t="str">
        <x:v>TRAKE_M01</x:v>
      </x:c>
      <x:c r="B10" s="22" t="n">
        <x:v>1</x:v>
      </x:c>
      <x:c r="C10" s="22" t="str">
        <x:v>Toàn cảnh bờ sông bị sụt lún sát khu dân cư.</x:v>
      </x:c>
      <x:c r="D10" s="22" t="str">
        <x:v>Overview of the collapsed riverbank beside homes.</x:v>
      </x:c>
      <x:c r="E10" s="22" t="n">
        <x:v>65</x:v>
      </x:c>
      <x:c r="F10" s="22" t="n">
        <x:v>1946</x:v>
      </x:c>
      <x:c r="G10" s="22" t="n">
        <x:v>1954</x:v>
      </x:c>
      <x:c r="H10" s="22" t="n">
        <x:v>1950</x:v>
      </x:c>
      <x:c r="I10" s="22" t="n">
        <x:v>9</x:v>
      </x:c>
      <x:c r="J10" s="30" t="str">
        <x:v>visually inspected stable semantic moment</x:v>
      </x:c>
    </x:row>
    <x:row r="11">
      <x:c r="A11" s="29" t="str">
        <x:v>TRAKE_M01</x:v>
      </x:c>
      <x:c r="B11" s="22" t="n">
        <x:v>2</x:v>
      </x:c>
      <x:c r="C11" s="22" t="str">
        <x:v>Biển cảnh báo sạt lở nguy hiểm xuất hiện rõ.</x:v>
      </x:c>
      <x:c r="D11" s="22" t="str">
        <x:v>The dangerous-erosion warning sign is clearly visible.</x:v>
      </x:c>
      <x:c r="E11" s="22" t="n">
        <x:v>75</x:v>
      </x:c>
      <x:c r="F11" s="22" t="n">
        <x:v>2246</x:v>
      </x:c>
      <x:c r="G11" s="22" t="n">
        <x:v>2254</x:v>
      </x:c>
      <x:c r="H11" s="22" t="n">
        <x:v>2250</x:v>
      </x:c>
      <x:c r="I11" s="22" t="n">
        <x:v>9</x:v>
      </x:c>
      <x:c r="J11" s="30" t="str">
        <x:v>visually inspected stable semantic moment</x:v>
      </x:c>
    </x:row>
    <x:row r="12">
      <x:c r="A12" s="29" t="str">
        <x:v>TRAKE_M01</x:v>
      </x:c>
      <x:c r="B12" s="22" t="n">
        <x:v>3</x:v>
      </x:c>
      <x:c r="C12" s="22" t="str">
        <x:v>Một cán bộ đứng phát biểu trong phòng họp.</x:v>
      </x:c>
      <x:c r="D12" s="22" t="str">
        <x:v>An official stands and speaks in a meeting room.</x:v>
      </x:c>
      <x:c r="E12" s="22" t="n">
        <x:v>100</x:v>
      </x:c>
      <x:c r="F12" s="22" t="n">
        <x:v>2996</x:v>
      </x:c>
      <x:c r="G12" s="22" t="n">
        <x:v>3004</x:v>
      </x:c>
      <x:c r="H12" s="22" t="n">
        <x:v>3000</x:v>
      </x:c>
      <x:c r="I12" s="22" t="n">
        <x:v>9</x:v>
      </x:c>
      <x:c r="J12" s="30" t="str">
        <x:v>visually inspected stable semantic moment</x:v>
      </x:c>
    </x:row>
    <x:row r="13">
      <x:c r="A13" s="29" t="str">
        <x:v>TRAKE_M01</x:v>
      </x:c>
      <x:c r="B13" s="22" t="n">
        <x:v>4</x:v>
      </x:c>
      <x:c r="C13" s="22" t="str">
        <x:v>Đoàn khảo sát tập trung xem bản vẽ kỹ thuật lớn.</x:v>
      </x:c>
      <x:c r="D13" s="22" t="str">
        <x:v>The survey team gathers around a large engineering plan.</x:v>
      </x:c>
      <x:c r="E13" s="22" t="n">
        <x:v>135</x:v>
      </x:c>
      <x:c r="F13" s="22" t="n">
        <x:v>4046</x:v>
      </x:c>
      <x:c r="G13" s="22" t="n">
        <x:v>4054</x:v>
      </x:c>
      <x:c r="H13" s="22" t="n">
        <x:v>4050</x:v>
      </x:c>
      <x:c r="I13" s="22" t="n">
        <x:v>9</x:v>
      </x:c>
      <x:c r="J13" s="30" t="str">
        <x:v>visually inspected stable semantic moment</x:v>
      </x:c>
    </x:row>
    <x:row r="14">
      <x:c r="A14" s="29" t="str">
        <x:v>TRAKE_M01</x:v>
      </x:c>
      <x:c r="B14" s="22" t="n">
        <x:v>5</x:v>
      </x:c>
      <x:c r="C14" s="22" t="str">
        <x:v>Công trình bê tông ven sông được quay khi đoàn khảo sát kiểm tra.</x:v>
      </x:c>
      <x:c r="D14" s="22" t="str">
        <x:v>The concrete riverside structure is shown during the inspection.</x:v>
      </x:c>
      <x:c r="E14" s="22" t="n">
        <x:v>160</x:v>
      </x:c>
      <x:c r="F14" s="22" t="n">
        <x:v>4796</x:v>
      </x:c>
      <x:c r="G14" s="22" t="n">
        <x:v>4804</x:v>
      </x:c>
      <x:c r="H14" s="22" t="n">
        <x:v>4800</x:v>
      </x:c>
      <x:c r="I14" s="22" t="n">
        <x:v>9</x:v>
      </x:c>
      <x:c r="J14" s="30" t="str">
        <x:v>visually inspected stable semantic moment</x:v>
      </x:c>
    </x:row>
    <x:row r="15">
      <x:c r="A15" s="29" t="str">
        <x:v>TRAKE_M02</x:v>
      </x:c>
      <x:c r="B15" s="22" t="n">
        <x:v>1</x:v>
      </x:c>
      <x:c r="C15" s="22" t="str">
        <x:v>Sườn đồi đỏ rực vì cháy trong đêm.</x:v>
      </x:c>
      <x:c r="D15" s="22" t="str">
        <x:v>A hillside glows red from wildfire at night.</x:v>
      </x:c>
      <x:c r="E15" s="22" t="n">
        <x:v>897</x:v>
      </x:c>
      <x:c r="F15" s="22" t="n">
        <x:v>26906</x:v>
      </x:c>
      <x:c r="G15" s="22" t="n">
        <x:v>26914</x:v>
      </x:c>
      <x:c r="H15" s="22" t="n">
        <x:v>26910</x:v>
      </x:c>
      <x:c r="I15" s="22" t="n">
        <x:v>9</x:v>
      </x:c>
      <x:c r="J15" s="30" t="str">
        <x:v>visually inspected stable semantic moment</x:v>
      </x:c>
    </x:row>
    <x:row r="16">
      <x:c r="A16" s="29" t="str">
        <x:v>TRAKE_M02</x:v>
      </x:c>
      <x:c r="B16" s="22" t="n">
        <x:v>2</x:v>
      </x:c>
      <x:c r="C16" s="22" t="str">
        <x:v>Xe cứu hỏa với đèn xanh xuất hiện trong đêm.</x:v>
      </x:c>
      <x:c r="D16" s="22" t="str">
        <x:v>A fire engine with blue emergency lights appears at night.</x:v>
      </x:c>
      <x:c r="E16" s="22" t="n">
        <x:v>915</x:v>
      </x:c>
      <x:c r="F16" s="22" t="n">
        <x:v>27446</x:v>
      </x:c>
      <x:c r="G16" s="22" t="n">
        <x:v>27454</x:v>
      </x:c>
      <x:c r="H16" s="22" t="n">
        <x:v>27450</x:v>
      </x:c>
      <x:c r="I16" s="22" t="n">
        <x:v>9</x:v>
      </x:c>
      <x:c r="J16" s="30" t="str">
        <x:v>visually inspected stable semantic moment</x:v>
      </x:c>
    </x:row>
    <x:row r="17">
      <x:c r="A17" s="29" t="str">
        <x:v>TRAKE_M02</x:v>
      </x:c>
      <x:c r="B17" s="22" t="n">
        <x:v>3</x:v>
      </x:c>
      <x:c r="C17" s="22" t="str">
        <x:v>Trực thăng mang túi nước bay qua vùng khói.</x:v>
      </x:c>
      <x:c r="D17" s="22" t="str">
        <x:v>A helicopter carries a water bucket through smoke.</x:v>
      </x:c>
      <x:c r="E17" s="22" t="n">
        <x:v>936</x:v>
      </x:c>
      <x:c r="F17" s="22" t="n">
        <x:v>28076</x:v>
      </x:c>
      <x:c r="G17" s="22" t="n">
        <x:v>28084</x:v>
      </x:c>
      <x:c r="H17" s="22" t="n">
        <x:v>28080</x:v>
      </x:c>
      <x:c r="I17" s="22" t="n">
        <x:v>9</x:v>
      </x:c>
      <x:c r="J17" s="30" t="str">
        <x:v>visually inspected stable semantic moment</x:v>
      </x:c>
    </x:row>
    <x:row r="18">
      <x:c r="A18" s="29" t="str">
        <x:v>TRAKE_M02</x:v>
      </x:c>
      <x:c r="B18" s="22" t="n">
        <x:v>4</x:v>
      </x:c>
      <x:c r="C18" s="22" t="str">
        <x:v>Rừng cháy xơ xác và xe cứu hỏa được quay vào ban ngày.</x:v>
      </x:c>
      <x:c r="D18" s="22" t="str">
        <x:v>Burned woodland and a fire engine are shown in daylight.</x:v>
      </x:c>
      <x:c r="E18" s="22" t="n">
        <x:v>948</x:v>
      </x:c>
      <x:c r="F18" s="22" t="n">
        <x:v>28436</x:v>
      </x:c>
      <x:c r="G18" s="22" t="n">
        <x:v>28444</x:v>
      </x:c>
      <x:c r="H18" s="22" t="n">
        <x:v>28440</x:v>
      </x:c>
      <x:c r="I18" s="22" t="n">
        <x:v>9</x:v>
      </x:c>
      <x:c r="J18" s="30" t="str">
        <x:v>visually inspected stable semantic moment</x:v>
      </x:c>
    </x:row>
    <x:row r="19">
      <x:c r="A19" s="29" t="str">
        <x:v>TRAKE_M03</x:v>
      </x:c>
      <x:c r="B19" s="22" t="n">
        <x:v>1</x:v>
      </x:c>
      <x:c r="C19" s="22" t="str">
        <x:v>Chó đánh hơi tìm kiếm trên bãi cát.</x:v>
      </x:c>
      <x:c r="D19" s="22" t="str">
        <x:v>A sniffer dog searches across the sand.</x:v>
      </x:c>
      <x:c r="E19" s="22" t="n">
        <x:v>1116</x:v>
      </x:c>
      <x:c r="F19" s="22" t="n">
        <x:v>33476</x:v>
      </x:c>
      <x:c r="G19" s="22" t="n">
        <x:v>33484</x:v>
      </x:c>
      <x:c r="H19" s="22" t="n">
        <x:v>33480</x:v>
      </x:c>
      <x:c r="I19" s="22" t="n">
        <x:v>9</x:v>
      </x:c>
      <x:c r="J19" s="30" t="str">
        <x:v>visually inspected stable semantic moment</x:v>
      </x:c>
    </x:row>
    <x:row r="20">
      <x:c r="A20" s="29" t="str">
        <x:v>TRAKE_M03</x:v>
      </x:c>
      <x:c r="B20" s="22" t="n">
        <x:v>2</x:v>
      </x:c>
      <x:c r="C20" s="22" t="str">
        <x:v>Người hướng dẫn xuất hiện cùng hai con chó.</x:v>
      </x:c>
      <x:c r="D20" s="22" t="str">
        <x:v>A handler appears with two dogs.</x:v>
      </x:c>
      <x:c r="E20" s="22" t="n">
        <x:v>1136</x:v>
      </x:c>
      <x:c r="F20" s="22" t="n">
        <x:v>34076</x:v>
      </x:c>
      <x:c r="G20" s="22" t="n">
        <x:v>34084</x:v>
      </x:c>
      <x:c r="H20" s="22" t="n">
        <x:v>34080</x:v>
      </x:c>
      <x:c r="I20" s="22" t="n">
        <x:v>9</x:v>
      </x:c>
      <x:c r="J20" s="30" t="str">
        <x:v>visually inspected stable semantic moment</x:v>
      </x:c>
    </x:row>
    <x:row r="21">
      <x:c r="A21" s="29" t="str">
        <x:v>TRAKE_M03</x:v>
      </x:c>
      <x:c r="B21" s="22" t="n">
        <x:v>3</x:v>
      </x:c>
      <x:c r="C21" s="22" t="str">
        <x:v>Nhân viên làm việc tại trung tâm cứu hộ.</x:v>
      </x:c>
      <x:c r="D21" s="22" t="str">
        <x:v>Staff work inside the rescue center.</x:v>
      </x:c>
      <x:c r="E21" s="22" t="n">
        <x:v>1148</x:v>
      </x:c>
      <x:c r="F21" s="22" t="n">
        <x:v>34436</x:v>
      </x:c>
      <x:c r="G21" s="22" t="n">
        <x:v>34444</x:v>
      </x:c>
      <x:c r="H21" s="22" t="n">
        <x:v>34440</x:v>
      </x:c>
      <x:c r="I21" s="22" t="n">
        <x:v>9</x:v>
      </x:c>
      <x:c r="J21" s="30" t="str">
        <x:v>visually inspected stable semantic moment</x:v>
      </x:c>
    </x:row>
    <x:row r="22">
      <x:c r="A22" s="29" t="str">
        <x:v>TRAKE_M03</x:v>
      </x:c>
      <x:c r="B22" s="22" t="n">
        <x:v>4</x:v>
      </x:c>
      <x:c r="C22" s="22" t="str">
        <x:v>Một con rùa biển bơi dưới nước.</x:v>
      </x:c>
      <x:c r="D22" s="22" t="str">
        <x:v>A sea turtle swims underwater.</x:v>
      </x:c>
      <x:c r="E22" s="22" t="n">
        <x:v>1164</x:v>
      </x:c>
      <x:c r="F22" s="22" t="n">
        <x:v>34916</x:v>
      </x:c>
      <x:c r="G22" s="22" t="n">
        <x:v>34924</x:v>
      </x:c>
      <x:c r="H22" s="22" t="n">
        <x:v>34920</x:v>
      </x:c>
      <x:c r="I22" s="22" t="n">
        <x:v>9</x:v>
      </x:c>
      <x:c r="J22" s="30" t="str">
        <x:v>visually inspected stable semantic moment</x:v>
      </x:c>
    </x:row>
    <x:row r="23">
      <x:c r="A23" s="29" t="str">
        <x:v>TRAKE_M03</x:v>
      </x:c>
      <x:c r="B23" s="22" t="n">
        <x:v>5</x:v>
      </x:c>
      <x:c r="C23" s="22" t="str">
        <x:v>Rùa biển được thả từ thuyền xuống biển.</x:v>
      </x:c>
      <x:c r="D23" s="22" t="str">
        <x:v>The sea turtle is released from a boat.</x:v>
      </x:c>
      <x:c r="E23" s="22" t="n">
        <x:v>1168</x:v>
      </x:c>
      <x:c r="F23" s="22" t="n">
        <x:v>35036</x:v>
      </x:c>
      <x:c r="G23" s="22" t="n">
        <x:v>35044</x:v>
      </x:c>
      <x:c r="H23" s="22" t="n">
        <x:v>35040</x:v>
      </x:c>
      <x:c r="I23" s="22" t="n">
        <x:v>9</x:v>
      </x:c>
      <x:c r="J23" s="30" t="str">
        <x:v>visually inspected stable semantic moment</x:v>
      </x:c>
    </x:row>
    <x:row r="24">
      <x:c r="A24" s="29" t="str">
        <x:v>TRAKE_H01</x:v>
      </x:c>
      <x:c r="B24" s="22" t="n">
        <x:v>1</x:v>
      </x:c>
      <x:c r="C24" s="22" t="str">
        <x:v>Phương tiện màu xanh di chuyển trên kênh.</x:v>
      </x:c>
      <x:c r="D24" s="22" t="str">
        <x:v>A green craft moves along the canal.</x:v>
      </x:c>
      <x:c r="E24" s="22" t="n">
        <x:v>962</x:v>
      </x:c>
      <x:c r="F24" s="22" t="n">
        <x:v>28856</x:v>
      </x:c>
      <x:c r="G24" s="22" t="n">
        <x:v>28864</x:v>
      </x:c>
      <x:c r="H24" s="22" t="n">
        <x:v>28860</x:v>
      </x:c>
      <x:c r="I24" s="22" t="n">
        <x:v>9</x:v>
      </x:c>
      <x:c r="J24" s="30" t="str">
        <x:v>visually inspected stable semantic moment</x:v>
      </x:c>
    </x:row>
    <x:row r="25">
      <x:c r="A25" s="29" t="str">
        <x:v>TRAKE_H01</x:v>
      </x:c>
      <x:c r="B25" s="22" t="n">
        <x:v>2</x:v>
      </x:c>
      <x:c r="C25" s="22" t="str">
        <x:v>Thuyền chở nhiều du khách đi giữa khu phố ven kênh.</x:v>
      </x:c>
      <x:c r="D25" s="22" t="str">
        <x:v>A sightseeing boat full of tourists passes canal-side buildings.</x:v>
      </x:c>
      <x:c r="E25" s="22" t="n">
        <x:v>974</x:v>
      </x:c>
      <x:c r="F25" s="22" t="n">
        <x:v>29216</x:v>
      </x:c>
      <x:c r="G25" s="22" t="n">
        <x:v>29224</x:v>
      </x:c>
      <x:c r="H25" s="22" t="n">
        <x:v>29220</x:v>
      </x:c>
      <x:c r="I25" s="22" t="n">
        <x:v>9</x:v>
      </x:c>
      <x:c r="J25" s="30" t="str">
        <x:v>visually inspected stable semantic moment</x:v>
      </x:c>
    </x:row>
    <x:row r="26">
      <x:c r="A26" s="29" t="str">
        <x:v>TRAKE_H01</x:v>
      </x:c>
      <x:c r="B26" s="22" t="n">
        <x:v>3</x:v>
      </x:c>
      <x:c r="C26" s="22" t="str">
        <x:v>Người đội mũ bảo hiểm di chuyển bằng xe đạp.</x:v>
      </x:c>
      <x:c r="D26" s="22" t="str">
        <x:v>A helmeted person travels by bicycle.</x:v>
      </x:c>
      <x:c r="E26" s="22" t="n">
        <x:v>982</x:v>
      </x:c>
      <x:c r="F26" s="22" t="n">
        <x:v>29456</x:v>
      </x:c>
      <x:c r="G26" s="22" t="n">
        <x:v>29464</x:v>
      </x:c>
      <x:c r="H26" s="22" t="n">
        <x:v>29460</x:v>
      </x:c>
      <x:c r="I26" s="22" t="n">
        <x:v>9</x:v>
      </x:c>
      <x:c r="J26" s="30" t="str">
        <x:v>visually inspected stable semantic moment</x:v>
      </x:c>
    </x:row>
    <x:row r="27">
      <x:c r="A27" s="29" t="str">
        <x:v>TRAKE_H01</x:v>
      </x:c>
      <x:c r="B27" s="22" t="n">
        <x:v>4</x:v>
      </x:c>
      <x:c r="C27" s="22" t="str">
        <x:v>Khách tham quan xuất hiện bên trong bảo tàng.</x:v>
      </x:c>
      <x:c r="D27" s="22" t="str">
        <x:v>Visitors are shown inside a museum.</x:v>
      </x:c>
      <x:c r="E27" s="22" t="n">
        <x:v>1018</x:v>
      </x:c>
      <x:c r="F27" s="22" t="n">
        <x:v>30536</x:v>
      </x:c>
      <x:c r="G27" s="22" t="n">
        <x:v>30544</x:v>
      </x:c>
      <x:c r="H27" s="22" t="n">
        <x:v>30540</x:v>
      </x:c>
      <x:c r="I27" s="22" t="n">
        <x:v>9</x:v>
      </x:c>
      <x:c r="J27" s="30" t="str">
        <x:v>visually inspected stable semantic moment</x:v>
      </x:c>
    </x:row>
    <x:row r="28">
      <x:c r="A28" s="29" t="str">
        <x:v>TRAKE_H02</x:v>
      </x:c>
      <x:c r="B28" s="22" t="n">
        <x:v>1</x:v>
      </x:c>
      <x:c r="C28" s="22" t="str">
        <x:v>Cá mú lớn bơi giữa đàn cá.</x:v>
      </x:c>
      <x:c r="D28" s="22" t="str">
        <x:v>A large grouper swims among a school of fish.</x:v>
      </x:c>
      <x:c r="E28" s="22" t="n">
        <x:v>1036</x:v>
      </x:c>
      <x:c r="F28" s="22" t="n">
        <x:v>31076</x:v>
      </x:c>
      <x:c r="G28" s="22" t="n">
        <x:v>31084</x:v>
      </x:c>
      <x:c r="H28" s="22" t="n">
        <x:v>31080</x:v>
      </x:c>
      <x:c r="I28" s="22" t="n">
        <x:v>9</x:v>
      </x:c>
      <x:c r="J28" s="30" t="str">
        <x:v>visually inspected stable semantic moment</x:v>
      </x:c>
    </x:row>
    <x:row r="29">
      <x:c r="A29" s="29" t="str">
        <x:v>TRAKE_H02</x:v>
      </x:c>
      <x:c r="B29" s="22" t="n">
        <x:v>2</x:v>
      </x:c>
      <x:c r="C29" s="22" t="str">
        <x:v>Hai thợ lặn bơi gần đáy biển.</x:v>
      </x:c>
      <x:c r="D29" s="22" t="str">
        <x:v>Two divers swim near the seabed.</x:v>
      </x:c>
      <x:c r="E29" s="22" t="n">
        <x:v>1052</x:v>
      </x:c>
      <x:c r="F29" s="22" t="n">
        <x:v>31556</x:v>
      </x:c>
      <x:c r="G29" s="22" t="n">
        <x:v>31564</x:v>
      </x:c>
      <x:c r="H29" s="22" t="n">
        <x:v>31560</x:v>
      </x:c>
      <x:c r="I29" s="22" t="n">
        <x:v>9</x:v>
      </x:c>
      <x:c r="J29" s="30" t="str">
        <x:v>visually inspected stable semantic moment</x:v>
      </x:c>
    </x:row>
    <x:row r="30">
      <x:c r="A30" s="29" t="str">
        <x:v>TRAKE_H02</x:v>
      </x:c>
      <x:c r="B30" s="22" t="n">
        <x:v>3</x:v>
      </x:c>
      <x:c r="C30" s="22" t="str">
        <x:v>Cận cảnh cá mú bơi sát nền đá.</x:v>
      </x:c>
      <x:c r="D30" s="22" t="str">
        <x:v>Close view of the grouper above the rocky bottom.</x:v>
      </x:c>
      <x:c r="E30" s="22" t="n">
        <x:v>1064</x:v>
      </x:c>
      <x:c r="F30" s="22" t="n">
        <x:v>31916</x:v>
      </x:c>
      <x:c r="G30" s="22" t="n">
        <x:v>31924</x:v>
      </x:c>
      <x:c r="H30" s="22" t="n">
        <x:v>31920</x:v>
      </x:c>
      <x:c r="I30" s="22" t="n">
        <x:v>9</x:v>
      </x:c>
      <x:c r="J30" s="30" t="str">
        <x:v>visually inspected stable semantic moment</x:v>
      </x:c>
    </x:row>
    <x:row r="31">
      <x:c r="A31" s="29" t="str">
        <x:v>TRAKE_H02</x:v>
      </x:c>
      <x:c r="B31" s="22" t="n">
        <x:v>4</x:v>
      </x:c>
      <x:c r="C31" s="22" t="str">
        <x:v>Một thợ lặn khảo sát sinh vật trên đáy biển.</x:v>
      </x:c>
      <x:c r="D31" s="22" t="str">
        <x:v>A diver surveys marine life on the seabed.</x:v>
      </x:c>
      <x:c r="E31" s="22" t="n">
        <x:v>1084</x:v>
      </x:c>
      <x:c r="F31" s="22" t="n">
        <x:v>32516</x:v>
      </x:c>
      <x:c r="G31" s="22" t="n">
        <x:v>32524</x:v>
      </x:c>
      <x:c r="H31" s="22" t="n">
        <x:v>32520</x:v>
      </x:c>
      <x:c r="I31" s="22" t="n">
        <x:v>9</x:v>
      </x:c>
      <x:c r="J31" s="30" t="str">
        <x:v>visually inspected stable semantic moment</x:v>
      </x:c>
    </x:row>
    <x:row r="32">
      <x:c r="A32" s="29" t="str">
        <x:v>TRAKE_H02</x:v>
      </x:c>
      <x:c r="B32" s="22" t="n">
        <x:v>5</x:v>
      </x:c>
      <x:c r="C32" s="22" t="str">
        <x:v>Thợ lặn bơi qua đàn cá nhỏ trong làn nước xanh.</x:v>
      </x:c>
      <x:c r="D32" s="22" t="str">
        <x:v>A diver swims through a small school of fish in blue water.</x:v>
      </x:c>
      <x:c r="E32" s="22" t="n">
        <x:v>1092</x:v>
      </x:c>
      <x:c r="F32" s="22" t="n">
        <x:v>32756</x:v>
      </x:c>
      <x:c r="G32" s="22" t="n">
        <x:v>32764</x:v>
      </x:c>
      <x:c r="H32" s="22" t="n">
        <x:v>32760</x:v>
      </x:c>
      <x:c r="I32" s="22" t="n">
        <x:v>9</x:v>
      </x:c>
      <x:c r="J32" s="30" t="str">
        <x:v>visually inspected stable semantic moment</x:v>
      </x:c>
    </x:row>
    <x:row r="33">
      <x:c r="A33" s="29" t="str">
        <x:v>TRAKE_H03</x:v>
      </x:c>
      <x:c r="B33" s="22" t="n">
        <x:v>1</x:v>
      </x:c>
      <x:c r="C33" s="22" t="str">
        <x:v>Toàn cảnh lực lượng chức năng và nhiều xe máy tại hiện trường.</x:v>
      </x:c>
      <x:c r="D33" s="22" t="str">
        <x:v>Overview of responders and several motorcycles at the scene.</x:v>
      </x:c>
      <x:c r="E33" s="22" t="n">
        <x:v>660</x:v>
      </x:c>
      <x:c r="F33" s="22" t="n">
        <x:v>19796</x:v>
      </x:c>
      <x:c r="G33" s="22" t="n">
        <x:v>19804</x:v>
      </x:c>
      <x:c r="H33" s="22" t="n">
        <x:v>19800</x:v>
      </x:c>
      <x:c r="I33" s="22" t="n">
        <x:v>9</x:v>
      </x:c>
      <x:c r="J33" s="30" t="str">
        <x:v>visually inspected stable semantic moment</x:v>
      </x:c>
    </x:row>
    <x:row r="34">
      <x:c r="A34" s="29" t="str">
        <x:v>TRAKE_H03</x:v>
      </x:c>
      <x:c r="B34" s="22" t="n">
        <x:v>2</x:v>
      </x:c>
      <x:c r="C34" s="22" t="str">
        <x:v>Một người kiểm tra chiếc xe máy màu đỏ.</x:v>
      </x:c>
      <x:c r="D34" s="22" t="str">
        <x:v>A person inspects a red motorcycle.</x:v>
      </x:c>
      <x:c r="E34" s="22" t="n">
        <x:v>670</x:v>
      </x:c>
      <x:c r="F34" s="22" t="n">
        <x:v>20096</x:v>
      </x:c>
      <x:c r="G34" s="22" t="n">
        <x:v>20104</x:v>
      </x:c>
      <x:c r="H34" s="22" t="n">
        <x:v>20100</x:v>
      </x:c>
      <x:c r="I34" s="22" t="n">
        <x:v>9</x:v>
      </x:c>
      <x:c r="J34" s="30" t="str">
        <x:v>visually inspected stable semantic moment</x:v>
      </x:c>
    </x:row>
    <x:row r="35">
      <x:c r="A35" s="29" t="str">
        <x:v>TRAKE_H03</x:v>
      </x:c>
      <x:c r="B35" s="22" t="n">
        <x:v>3</x:v>
      </x:c>
      <x:c r="C35" s="22" t="str">
        <x:v>Cận cảnh phần đuôi chiếc xe máy màu xanh bị hư hỏng.</x:v>
      </x:c>
      <x:c r="D35" s="22" t="str">
        <x:v>Close view of the damaged rear of a blue motorcycle.</x:v>
      </x:c>
      <x:c r="E35" s="22" t="n">
        <x:v>680</x:v>
      </x:c>
      <x:c r="F35" s="22" t="n">
        <x:v>20396</x:v>
      </x:c>
      <x:c r="G35" s="22" t="n">
        <x:v>20404</x:v>
      </x:c>
      <x:c r="H35" s="22" t="n">
        <x:v>20400</x:v>
      </x:c>
      <x:c r="I35" s="22" t="n">
        <x:v>9</x:v>
      </x:c>
      <x:c r="J35" s="30" t="str">
        <x:v>visually inspected stable semantic moment</x:v>
      </x:c>
    </x:row>
    <x:row r="36">
      <x:c r="A36" s="33" t="str">
        <x:v>TRAKE_H03</x:v>
      </x:c>
      <x:c r="B36" s="34" t="n">
        <x:v>4</x:v>
      </x:c>
      <x:c r="C36" s="34" t="str">
        <x:v>Cận cảnh biển số của các xe máy tại hiện trường.</x:v>
      </x:c>
      <x:c r="D36" s="34" t="str">
        <x:v>Close views of motorcycle license plates at the scene.</x:v>
      </x:c>
      <x:c r="E36" s="34" t="n">
        <x:v>690</x:v>
      </x:c>
      <x:c r="F36" s="34" t="n">
        <x:v>20696</x:v>
      </x:c>
      <x:c r="G36" s="34" t="n">
        <x:v>20704</x:v>
      </x:c>
      <x:c r="H36" s="34" t="n">
        <x:v>20700</x:v>
      </x:c>
      <x:c r="I36" s="34" t="n">
        <x:v>9</x:v>
      </x:c>
      <x:c r="J36" s="35" t="str">
        <x:v>visually inspected stable semantic moment</x:v>
      </x:c>
    </x:row>
  </x:sheetData>
  <x:pageMargins left="0.7" right="0.7" top="0.75" bottom="0.75" header="0.3" footer="0.3"/>
  <x:tableParts count="1">
    <x:tablePart xmlns:r="http://schemas.openxmlformats.org/officeDocument/2006/relationships" r:id="R7c2dd27e115f40eb"/>
  </x:tableParts>
</x:worksheet>
</file>

<file path=xl/worksheets/sheet10.xml><?xml version="1.0" encoding="utf-8"?>
<x:worksheet xmlns:x="http://schemas.openxmlformats.org/spreadsheetml/2006/main">
  <x:sheetFormatPr defaultRowHeight="15"/>
  <x:cols>
    <x:col min="1" max="1" width="12" hidden="0" customWidth="1"/>
    <x:col min="2" max="2" width="42" hidden="0" customWidth="1"/>
    <x:col min="3" max="3" width="38" hidden="0" customWidth="1"/>
    <x:col min="4" max="4" width="44" hidden="0" customWidth="1"/>
    <x:col min="5" max="5" width="48" hidden="0" customWidth="1"/>
    <x:col min="6" max="6" width="42" hidden="0" customWidth="1"/>
  </x:cols>
  <x:sheetData>
    <x:row r="1">
      <x:c r="A1" s="5" t="str">
        <x:v>Evaluation Strategy for Current AIC System</x:v>
      </x:c>
      <x:c r="B1" s="5"/>
      <x:c r="C1" s="5"/>
      <x:c r="D1" s="5"/>
      <x:c r="E1" s="5"/>
      <x:c r="F1" s="5"/>
    </x:row>
    <x:row r="3">
      <x:c r="A3" s="57" t="str">
        <x:v>Task</x:v>
      </x:c>
      <x:c r="B3" s="58" t="str">
        <x:v>Official/Internal scoring target</x:v>
      </x:c>
      <x:c r="C3" s="58" t="str">
        <x:v>Primary metrics</x:v>
      </x:c>
      <x:c r="D3" s="58" t="str">
        <x:v>Failure taxonomy</x:v>
      </x:c>
      <x:c r="E3" s="58" t="str">
        <x:v>Recommended ablation</x:v>
      </x:c>
      <x:c r="F3" s="59" t="str">
        <x:v>Pass condition</x:v>
      </x:c>
    </x:row>
    <x:row r="4">
      <x:c r="A4" s="26" t="str">
        <x:v>KIS</x:v>
      </x:c>
      <x:c r="B4" s="27" t="str">
        <x:v>Correct video + any frame inside GT interval</x:v>
      </x:c>
      <x:c r="C4" s="27" t="str">
        <x:v>R@1/5/20/50/100; MRR; hard-negative confusion</x:v>
      </x:c>
      <x:c r="D4" s="27" t="str">
        <x:v>wrong video; right topic/wrong report; right report/wrong scene; teaser duplicate</x:v>
      </x:c>
      <x:c r="E4" s="27" t="str">
        <x:v>visual only → +caption → +OCR → +dynamic routing → +rerank</x:v>
      </x:c>
      <x:c r="F4" s="28" t="str">
        <x:v>Correct interval appears in top ranks without teaser confusion</x:v>
      </x:c>
    </x:row>
    <x:row r="5">
      <x:c r="A5" s="29" t="str">
        <x:v>VQA</x:v>
      </x:c>
      <x:c r="B5" s="22" t="str">
        <x:v>Correct video + frame in GT interval + semantically correct answer</x:v>
      </x:c>
      <x:c r="C5" s="22" t="str">
        <x:v>Evidence Hit@K; Answer EM/F1; end-to-end accuracy; grounded answer rate</x:v>
      </x:c>
      <x:c r="D5" s="22" t="str">
        <x:v>wrong evidence; OCR number confusion; correct answer by chance; unsupported answer</x:v>
      </x:c>
      <x:c r="E5" s="22" t="str">
        <x:v>retrieval only → evidence selector → answer generator → verifier</x:v>
      </x:c>
      <x:c r="F5" s="30" t="str">
        <x:v>Answer and supporting evidence are both correct</x:v>
      </x:c>
    </x:row>
    <x:row r="6">
      <x:c r="A6" s="29" t="str">
        <x:v>AVS</x:v>
      </x:c>
      <x:c r="B6" s="22" t="str">
        <x:v>Rank all relevant intervals with graded relevance and diversity</x:v>
      </x:c>
      <x:c r="C6" s="22" t="str">
        <x:v>mAP; nDCG@K; Precision@K; distinct-event coverage; redundancy rate</x:v>
      </x:c>
      <x:c r="D6" s="22" t="str">
        <x:v>single-event flooding; adjacent-shot duplication; broad semantic miss; negative-constraint failure</x:v>
      </x:c>
      <x:c r="E6" s="22" t="str">
        <x:v>dense vs sparse vs hybrid; fixed RRF vs query routing; per-video cap vs MMR</x:v>
      </x:c>
      <x:c r="F6" s="30" t="str">
        <x:v>High event coverage with low duplication</x:v>
      </x:c>
    </x:row>
    <x:row r="7">
      <x:c r="A7" s="33" t="str">
        <x:v>TRAKE</x:v>
      </x:c>
      <x:c r="B7" s="34" t="str">
        <x:v>Correct video then one semantic keyframe per ordered event</x:v>
      </x:c>
      <x:c r="C7" s="34" t="str">
        <x:v>correct-video rate; per-event alignment; mean R-Score; complete-chain accuracy</x:v>
      </x:c>
      <x:c r="D7" s="34" t="str">
        <x:v>wrong video gives zero; event swap; near-cut frame; missing subevent; duplicate teaser</x:v>
      </x:c>
      <x:c r="E7" s="34" t="str">
        <x:v>independent event retrieval → sequence beam search → temporal rerank → frame refinement</x:v>
      </x:c>
      <x:c r="F7" s="35" t="str">
        <x:v>All ordered events align inside narrow GT windows</x:v>
      </x:c>
    </x:row>
  </x:sheetData>
  <x:mergeCells>
    <x:mergeCell ref="A1:F1"/>
  </x:mergeCells>
  <x:pageMargins left="0.7" right="0.7" top="0.75" bottom="0.75" header="0.3" footer="0.3"/>
</x:worksheet>
</file>